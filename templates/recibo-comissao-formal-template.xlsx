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140" activeTab="1"/>
  </bookViews>
  <sheets>
    <sheet sheetId="2" name="JOAO CARLOS DE QUEIROZ" state="visible" r:id="rId4"/>
    <sheet sheetId="1" name="Recibo de Pagamento" state="visible" r:id="rId5"/>
    <sheet sheetId="3" name="TUTORIAL" state="visible" r:id="rId6"/>
  </sheets>
  <definedNames>
    <definedName name="_xlnm.Print_Area" localSheetId="1">'Recibo de Pagamento'!$A1:$AM72</definedName>
  </definedNames>
  <calcPr calcId="171027"/>
</workbook>
</file>

<file path=xl/sharedStrings.xml><?xml version="1.0" encoding="utf-8"?>
<sst xmlns="http://schemas.openxmlformats.org/spreadsheetml/2006/main" count="81" uniqueCount="50">
  <si>
    <t>Funciononário</t>
  </si>
  <si>
    <t/>
  </si>
  <si>
    <t>ANO</t>
  </si>
  <si>
    <t>Janeiro</t>
  </si>
  <si>
    <t>Mês</t>
  </si>
  <si>
    <t>Fevereiro</t>
  </si>
  <si>
    <t>Valor Comissão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</si>
  <si>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</si>
  <si>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</si>
  <si>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</si>
  <si>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</si>
  <si>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</si>
  <si>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</si>
  <si>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</si>
  <si>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</si>
  <si>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</si>
  <si>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</si>
  <si>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L A CORREA LTDA</t>
  </si>
  <si>
    <t>CNPJ:</t>
  </si>
  <si>
    <t>66.171.108/0001-55</t>
  </si>
  <si>
    <t>CC:</t>
  </si>
  <si>
    <t>Vendas</t>
  </si>
  <si>
    <t>Folha Mensal</t>
  </si>
  <si>
    <t>Mensalista</t>
  </si>
  <si>
    <t>Nome do Funcionário</t>
  </si>
  <si>
    <t>VENDEDOR</t>
  </si>
  <si>
    <t>Código</t>
  </si>
  <si>
    <t>Descrição</t>
  </si>
  <si>
    <t>Referência</t>
  </si>
  <si>
    <t>Vencimentos</t>
  </si>
  <si>
    <t>COMISSÕES</t>
  </si>
  <si>
    <t>DSR S/ COMISSÕES</t>
  </si>
  <si>
    <t>13º SALÁRIO PROPORCIONAL COMISSÕES</t>
  </si>
  <si>
    <t>FÉRIAS PROPORCIONAIS COMISSÕES</t>
  </si>
  <si>
    <t>1/3 FÉRIAS PROPORCIONAIS COMISSÕES</t>
  </si>
  <si>
    <t>___/___/___</t>
  </si>
  <si>
    <t>Oberservações:</t>
  </si>
  <si>
    <t>Total de Vencimentos</t>
  </si>
  <si>
    <t>Total de Descontos</t>
  </si>
  <si>
    <t>Valor Líquido</t>
  </si>
  <si>
    <t>Comissão mês</t>
  </si>
  <si>
    <t>1º PASSO SELECIONAR DADOS -&gt; TESTE DE HIPOTESES</t>
  </si>
  <si>
    <t>2º SELECIONAR ATINGIR META - Preencher conforme abaixo:</t>
  </si>
  <si>
    <t>Definir célular:</t>
  </si>
  <si>
    <t>'Recibo de Pagamento'!$AI$32</t>
  </si>
  <si>
    <t>Para Valor</t>
  </si>
  <si>
    <t>VALOR DA COMISSÃO</t>
  </si>
  <si>
    <t>Alternando célula:</t>
  </si>
  <si>
    <t>Dados'!$C$4</t>
  </si>
  <si>
    <t>3º SERÁ RESULTADO O VALOR DA COMISSÃO DESEJADO.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</si>
</sst>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 * #,##0.00_-;-&quot;R$&quot; * #,##0.00_-;_-&quot;R$&quot; * &quot;-&quot;??_-;_-@_-"/>
  </numFmts>
  <fonts count="15" x14ac:knownFonts="1">
    <font>
      <color theme="1"/>
      <family val="2"/>
      <scheme val="minor"/>
      <sz val="11"/>
      <name val="Calibri"/>
    </font>
    <font>
      <family val="2"/>
      <sz val="14"/>
      <name val="Arial"/>
    </font>
    <font>
      <b/>
      <family val="2"/>
      <sz val="10"/>
      <name val="Arial"/>
    </font>
    <font>
      <family val="2"/>
      <sz val="10"/>
      <name val="Arial"/>
    </font>
    <font>
      <sz val="10"/>
      <name val="Arial"/>
    </font>
    <font>
      <family val="3"/>
      <sz val="10"/>
      <name val="Courier New"/>
    </font>
    <font>
      <color indexed="8"/>
      <family val="3"/>
      <sz val="10"/>
      <name val="Courier New"/>
    </font>
    <font>
      <color indexed="8"/>
      <family val="3"/>
      <sz val="8"/>
      <name val="Courier New"/>
    </font>
    <font>
      <family val="3"/>
      <sz val="8"/>
      <name val="Courier New"/>
    </font>
    <font>
      <color indexed="8"/>
      <family val="3"/>
      <sz val="5"/>
      <name val="Courier New"/>
    </font>
    <font>
      <color theme="1"/>
      <family val="3"/>
      <sz val="14"/>
      <name val="Courier New"/>
    </font>
    <font>
      <color theme="1"/>
      <family val="3"/>
      <sz val="10"/>
      <name val="Courier New"/>
    </font>
    <font>
      <color indexed="8"/>
      <family val="3"/>
      <sz val="18"/>
      <name val="Courier New"/>
    </font>
    <font>
      <b/>
      <family val="2"/>
      <sz val="12"/>
      <name val="Arial"/>
    </font>
    <font>
      <family val="2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4" fillId="0" borderId="0" xfId="0" applyNumberFormat="1" applyFont="1"/>
    <xf numFmtId="0" fontId="5" fillId="0" borderId="0" xfId="0" applyFont="1"/>
    <xf numFmtId="0" fontId="5" fillId="0" borderId="2" xfId="0" applyFont="1" applyBorder="1"/>
    <xf numFmtId="0" fontId="6" fillId="3" borderId="3" xfId="0" applyFont="1" applyFill="1" applyBorder="1" applyAlignment="1">
      <alignment horizontal="center" vertical="top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6" fillId="3" borderId="0" xfId="0" applyFont="1" applyFill="1" applyAlignment="1">
      <alignment horizontal="left" vertical="top" wrapText="1"/>
    </xf>
    <xf numFmtId="49" fontId="6" fillId="3" borderId="0" xfId="0" applyNumberFormat="1" applyFont="1" applyFill="1" applyAlignment="1">
      <alignment horizontal="left" vertical="top" wrapText="1"/>
    </xf>
    <xf numFmtId="0" fontId="6" fillId="3" borderId="0" xfId="0" applyFont="1" applyFill="1" applyAlignment="1">
      <alignment horizontal="right" vertical="top" wrapText="1"/>
    </xf>
    <xf numFmtId="0" fontId="6" fillId="3" borderId="6" xfId="0" applyFont="1" applyFill="1" applyBorder="1" applyAlignment="1">
      <alignment horizontal="right" vertical="top"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3" borderId="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right" vertical="top" wrapText="1"/>
    </xf>
    <xf numFmtId="0" fontId="6" fillId="3" borderId="9" xfId="0" applyFont="1" applyFill="1" applyBorder="1" applyAlignment="1">
      <alignment horizontal="right" vertical="top" wrapText="1"/>
    </xf>
    <xf numFmtId="49" fontId="7" fillId="0" borderId="0" xfId="0" applyNumberFormat="1" applyFont="1" applyAlignment="1">
      <alignment horizontal="center" vertical="top" wrapText="1"/>
    </xf>
    <xf numFmtId="0" fontId="8" fillId="0" borderId="0" xfId="0" applyFont="1"/>
    <xf numFmtId="49" fontId="7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horizontal="center" vertical="top" wrapText="1"/>
    </xf>
    <xf numFmtId="49" fontId="9" fillId="0" borderId="6" xfId="0" applyNumberFormat="1" applyFont="1" applyBorder="1" applyAlignment="1">
      <alignment horizontal="center" vertical="top" wrapText="1"/>
    </xf>
    <xf numFmtId="49" fontId="6" fillId="3" borderId="5" xfId="0" applyNumberFormat="1" applyFont="1" applyFill="1" applyBorder="1" applyAlignment="1">
      <alignment horizontal="center" vertical="top"/>
    </xf>
    <xf numFmtId="49" fontId="6" fillId="3" borderId="0" xfId="0" applyNumberFormat="1" applyFont="1" applyFill="1" applyAlignment="1">
      <alignment horizontal="center" vertical="top"/>
    </xf>
    <xf numFmtId="49" fontId="6" fillId="3" borderId="6" xfId="0" applyNumberFormat="1" applyFont="1" applyFill="1" applyBorder="1" applyAlignment="1">
      <alignment horizontal="center" vertical="top"/>
    </xf>
    <xf numFmtId="49" fontId="6" fillId="3" borderId="8" xfId="0" applyNumberFormat="1" applyFont="1" applyFill="1" applyBorder="1" applyAlignment="1">
      <alignment horizontal="left" vertical="top" wrapText="1"/>
    </xf>
    <xf numFmtId="0" fontId="5" fillId="0" borderId="9" xfId="0" applyFont="1" applyBorder="1"/>
    <xf numFmtId="49" fontId="7" fillId="3" borderId="10" xfId="0" applyNumberFormat="1" applyFont="1" applyFill="1" applyBorder="1" applyAlignment="1">
      <alignment horizontal="center" vertical="top" wrapText="1"/>
    </xf>
    <xf numFmtId="49" fontId="7" fillId="3" borderId="11" xfId="0" applyNumberFormat="1" applyFont="1" applyFill="1" applyBorder="1" applyAlignment="1">
      <alignment horizontal="center" vertical="top" wrapText="1"/>
    </xf>
    <xf numFmtId="49" fontId="7" fillId="3" borderId="12" xfId="0" applyNumberFormat="1" applyFont="1" applyFill="1" applyBorder="1" applyAlignment="1">
      <alignment horizontal="center" vertical="top" wrapText="1"/>
    </xf>
    <xf numFmtId="0" fontId="5" fillId="0" borderId="10" xfId="0" applyFont="1" applyBorder="1"/>
    <xf numFmtId="0" fontId="5" fillId="0" borderId="11" xfId="0" applyFont="1" applyBorder="1"/>
    <xf numFmtId="49" fontId="7" fillId="3" borderId="11" xfId="0" applyNumberFormat="1" applyFont="1" applyFill="1" applyBorder="1" applyAlignment="1">
      <alignment horizontal="left" vertical="top"/>
    </xf>
    <xf numFmtId="49" fontId="7" fillId="3" borderId="12" xfId="0" applyNumberFormat="1" applyFont="1" applyFill="1" applyBorder="1" applyAlignment="1">
      <alignment horizontal="left" vertical="top"/>
    </xf>
    <xf numFmtId="49" fontId="7" fillId="3" borderId="3" xfId="0" applyNumberFormat="1" applyFont="1" applyFill="1" applyBorder="1" applyAlignment="1">
      <alignment horizontal="center" vertical="top" wrapText="1"/>
    </xf>
    <xf numFmtId="49" fontId="7" fillId="3" borderId="4" xfId="0" applyNumberFormat="1" applyFont="1" applyFill="1" applyBorder="1" applyAlignment="1">
      <alignment horizontal="center" vertical="top" wrapText="1"/>
    </xf>
    <xf numFmtId="0" fontId="5" fillId="0" borderId="1" xfId="0" applyFont="1" applyBorder="1"/>
    <xf numFmtId="49" fontId="6" fillId="0" borderId="5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right" vertical="top"/>
    </xf>
    <xf numFmtId="49" fontId="6" fillId="0" borderId="6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" fontId="6" fillId="3" borderId="2" xfId="0" applyNumberFormat="1" applyFont="1" applyFill="1" applyBorder="1" applyAlignment="1">
      <alignment horizontal="center"/>
    </xf>
    <xf numFmtId="4" fontId="6" fillId="3" borderId="3" xfId="0" applyNumberFormat="1" applyFont="1" applyFill="1" applyBorder="1" applyAlignment="1">
      <alignment horizontal="center"/>
    </xf>
    <xf numFmtId="4" fontId="6" fillId="3" borderId="4" xfId="0" applyNumberFormat="1" applyFont="1" applyFill="1" applyBorder="1" applyAlignment="1">
      <alignment horizontal="center"/>
    </xf>
    <xf numFmtId="164" fontId="5" fillId="0" borderId="0" xfId="0" applyNumberFormat="1" applyFont="1"/>
    <xf numFmtId="49" fontId="6" fillId="3" borderId="5" xfId="0" applyNumberFormat="1" applyFont="1" applyFill="1" applyBorder="1" applyAlignment="1">
      <alignment horizontal="right" vertical="top"/>
    </xf>
    <xf numFmtId="49" fontId="6" fillId="3" borderId="0" xfId="0" applyNumberFormat="1" applyFont="1" applyFill="1" applyAlignment="1">
      <alignment horizontal="right" vertical="top"/>
    </xf>
    <xf numFmtId="49" fontId="6" fillId="3" borderId="6" xfId="0" applyNumberFormat="1" applyFont="1" applyFill="1" applyBorder="1" applyAlignment="1">
      <alignment horizontal="right" vertical="top"/>
    </xf>
    <xf numFmtId="0" fontId="6" fillId="3" borderId="6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4" fontId="6" fillId="3" borderId="5" xfId="0" applyNumberFormat="1" applyFont="1" applyFill="1" applyBorder="1" applyAlignment="1">
      <alignment horizontal="center"/>
    </xf>
    <xf numFmtId="4" fontId="6" fillId="3" borderId="0" xfId="0" applyNumberFormat="1" applyFont="1" applyFill="1" applyAlignment="1">
      <alignment horizontal="center"/>
    </xf>
    <xf numFmtId="4" fontId="6" fillId="3" borderId="6" xfId="0" applyNumberFormat="1" applyFont="1" applyFill="1" applyBorder="1" applyAlignment="1">
      <alignment horizontal="center"/>
    </xf>
    <xf numFmtId="4" fontId="5" fillId="0" borderId="0" xfId="0" applyNumberFormat="1" applyFont="1"/>
    <xf numFmtId="0" fontId="10" fillId="0" borderId="5" xfId="0" applyFont="1" applyBorder="1" applyAlignment="1">
      <alignment horizontal="center" textRotation="90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6" xfId="0" applyFont="1" applyBorder="1" applyAlignment="1">
      <alignment horizontal="left" vertical="center" textRotation="90"/>
    </xf>
    <xf numFmtId="49" fontId="6" fillId="3" borderId="2" xfId="0" applyNumberFormat="1" applyFont="1" applyFill="1" applyBorder="1" applyAlignment="1">
      <alignment horizontal="left" vertical="top" wrapText="1"/>
    </xf>
    <xf numFmtId="49" fontId="6" fillId="3" borderId="3" xfId="0" applyNumberFormat="1" applyFont="1" applyFill="1" applyBorder="1" applyAlignment="1">
      <alignment horizontal="left" vertical="top" wrapText="1"/>
    </xf>
    <xf numFmtId="49" fontId="7" fillId="3" borderId="0" xfId="0" applyNumberFormat="1" applyFont="1" applyFill="1" applyAlignment="1">
      <alignment horizontal="center" vertical="top" wrapText="1"/>
    </xf>
    <xf numFmtId="49" fontId="7" fillId="3" borderId="13" xfId="0" applyNumberFormat="1" applyFont="1" applyFill="1" applyBorder="1" applyAlignment="1">
      <alignment horizontal="center" vertical="top" wrapText="1"/>
    </xf>
    <xf numFmtId="0" fontId="5" fillId="0" borderId="14" xfId="0" applyFont="1" applyBorder="1"/>
    <xf numFmtId="49" fontId="6" fillId="0" borderId="5" xfId="0" applyNumberFormat="1" applyFont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6" fillId="0" borderId="6" xfId="0" applyNumberFormat="1" applyFont="1" applyBorder="1" applyAlignment="1">
      <alignment horizontal="left" vertical="top" wrapText="1"/>
    </xf>
    <xf numFmtId="4" fontId="6" fillId="3" borderId="0" xfId="0" applyNumberFormat="1" applyFont="1" applyFill="1" applyAlignment="1">
      <alignment horizontal="right" vertical="top"/>
    </xf>
    <xf numFmtId="0" fontId="5" fillId="0" borderId="15" xfId="0" applyFont="1" applyBorder="1"/>
    <xf numFmtId="49" fontId="12" fillId="3" borderId="3" xfId="0" applyNumberFormat="1" applyFont="1" applyFill="1" applyBorder="1" applyAlignment="1">
      <alignment horizontal="center" vertical="top" wrapText="1"/>
    </xf>
    <xf numFmtId="0" fontId="5" fillId="0" borderId="13" xfId="0" applyFont="1" applyBorder="1"/>
    <xf numFmtId="49" fontId="7" fillId="3" borderId="0" xfId="0" applyNumberFormat="1" applyFont="1" applyFill="1" applyAlignment="1">
      <alignment horizontal="center" vertical="top"/>
    </xf>
    <xf numFmtId="49" fontId="12" fillId="3" borderId="0" xfId="0" applyNumberFormat="1" applyFont="1" applyFill="1" applyAlignment="1">
      <alignment horizontal="center" vertical="top" wrapText="1"/>
    </xf>
    <xf numFmtId="4" fontId="5" fillId="0" borderId="14" xfId="0" applyNumberFormat="1" applyFont="1" applyBorder="1"/>
    <xf numFmtId="49" fontId="12" fillId="3" borderId="8" xfId="0" applyNumberFormat="1" applyFont="1" applyFill="1" applyBorder="1" applyAlignment="1">
      <alignment horizontal="center" vertical="top" wrapText="1"/>
    </xf>
    <xf numFmtId="49" fontId="7" fillId="3" borderId="2" xfId="0" applyNumberFormat="1" applyFont="1" applyFill="1" applyBorder="1" applyAlignment="1">
      <alignment horizontal="center" vertical="top" wrapText="1"/>
    </xf>
    <xf numFmtId="0" fontId="8" fillId="0" borderId="3" xfId="0" applyFont="1" applyBorder="1"/>
    <xf numFmtId="4" fontId="6" fillId="3" borderId="7" xfId="0" applyNumberFormat="1" applyFont="1" applyFill="1" applyBorder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top"/>
    </xf>
    <xf numFmtId="4" fontId="6" fillId="3" borderId="9" xfId="0" applyNumberFormat="1" applyFont="1" applyFill="1" applyBorder="1" applyAlignment="1">
      <alignment horizontal="center" vertical="top"/>
    </xf>
    <xf numFmtId="0" fontId="13" fillId="0" borderId="0" xfId="0" applyFont="1"/>
    <xf numFmtId="0" fontId="14" fillId="0" borderId="0" xfId="0" applyFont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18</xdr:col>
      <xdr:colOff>331753</xdr:colOff>
      <xdr:row>14</xdr:row>
      <xdr:rowOff>161662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17</xdr:row>
      <xdr:rowOff>0</xdr:rowOff>
    </xdr:from>
    <xdr:to>
      <xdr:col>7</xdr:col>
      <xdr:colOff>124117</xdr:colOff>
      <xdr:row>25</xdr:row>
      <xdr:rowOff>124023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P71"/>
  <sheetViews>
    <sheetView workbookViewId="0" showGridLines="0" zoomScale="85" zoomScaleNormal="85">
      <selection activeCell="AI23" sqref="AI23"/>
    </sheetView>
  </sheetViews>
  <sheetFormatPr defaultRowHeight="13.5" outlineLevelRow="0" outlineLevelCol="0" x14ac:dyDescent="0.25" customHeight="1"/>
  <cols>
    <col min="1" max="1" width="1.5703125" style="8" customWidth="1"/>
    <col min="2" max="2" width="2.28515625" style="8" customWidth="1"/>
    <col min="3" max="3" width="3.140625" style="8" customWidth="1"/>
    <col min="4" max="4" width="3.42578125" style="8" customWidth="1"/>
    <col min="5" max="5" width="1" style="8" customWidth="1"/>
    <col min="6" max="6" width="1.5703125" style="8" customWidth="1"/>
    <col min="7" max="7" width="1" style="8" customWidth="1"/>
    <col min="8" max="9" width="1.85546875" style="8" customWidth="1"/>
    <col min="10" max="10" width="9" style="8" customWidth="1"/>
    <col min="11" max="11" width="1.28515625" style="8" customWidth="1"/>
    <col min="12" max="12" width="2" style="8" customWidth="1"/>
    <col min="13" max="13" width="17.28515625" style="8" customWidth="1"/>
    <col min="14" max="14" width="1.28515625" style="8" customWidth="1"/>
    <col min="15" max="15" width="2" style="8" customWidth="1"/>
    <col min="16" max="16" width="2.42578125" style="8" customWidth="1"/>
    <col min="17" max="17" width="2.140625" style="8" customWidth="1"/>
    <col min="18" max="18" width="1.85546875" style="8" customWidth="1"/>
    <col min="19" max="20" width="1.28515625" style="8" customWidth="1"/>
    <col min="21" max="21" width="2.5703125" style="8" customWidth="1"/>
    <col min="22" max="22" width="4.5703125" style="8" customWidth="1"/>
    <col min="23" max="23" width="2.42578125" style="8" customWidth="1"/>
    <col min="24" max="25" width="1.85546875" style="8" customWidth="1"/>
    <col min="26" max="26" width="2" style="8" customWidth="1"/>
    <col min="27" max="27" width="3" style="8" customWidth="1"/>
    <col min="28" max="28" width="2" style="8" customWidth="1"/>
    <col min="29" max="29" width="2.140625" style="8" customWidth="1"/>
    <col min="30" max="30" width="2.85546875" style="8" customWidth="1"/>
    <col min="31" max="31" width="3" style="8" customWidth="1"/>
    <col min="32" max="32" width="2.140625" style="8" customWidth="1"/>
    <col min="33" max="33" width="2.5703125" style="8" customWidth="1"/>
    <col min="34" max="34" width="1" style="8" customWidth="1"/>
    <col min="35" max="35" width="22.140625" style="8" customWidth="1"/>
    <col min="36" max="36" width="1.42578125" style="8" customWidth="1"/>
    <col min="37" max="38" width="6.7109375" style="8" customWidth="1"/>
    <col min="39" max="39" width="1.5703125" style="8" customWidth="1"/>
    <col min="40" max="40" width="9.140625" style="8" customWidth="1"/>
    <col min="41" max="41" width="14.28515625" style="8" customWidth="1"/>
    <col min="42" max="42" width="12.85546875" style="8" customWidth="1"/>
    <col min="43" max="16384" width="9.140625" style="8" customWidth="1"/>
  </cols>
  <sheetData>
    <row r="2" ht="15.75" customHeight="1" spans="2:38" x14ac:dyDescent="0.25">
      <c r="B2" s="9"/>
      <c r="C2" s="10" t="s">
        <v>17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2"/>
      <c r="AK2" s="9"/>
      <c r="AL2" s="12"/>
    </row>
    <row r="3" ht="12.6" customHeight="1" spans="2:38" x14ac:dyDescent="0.25">
      <c r="B3" s="13"/>
      <c r="C3" s="14" t="s">
        <v>18</v>
      </c>
      <c r="D3" s="14"/>
      <c r="E3" s="14"/>
      <c r="F3" s="14"/>
      <c r="G3" s="14"/>
      <c r="I3" s="14" t="s">
        <v>19</v>
      </c>
      <c r="J3" s="14"/>
      <c r="K3" s="14"/>
      <c r="L3" s="14"/>
      <c r="M3" s="14"/>
      <c r="N3" s="14"/>
      <c r="P3" s="15" t="s">
        <v>20</v>
      </c>
      <c r="Q3" s="15"/>
      <c r="R3" s="15"/>
      <c r="S3" s="14" t="s">
        <v>21</v>
      </c>
      <c r="T3" s="14"/>
      <c r="U3" s="14"/>
      <c r="V3" s="14"/>
      <c r="W3" s="14"/>
      <c r="X3" s="14"/>
      <c r="Y3" s="14"/>
      <c r="Z3" s="14"/>
      <c r="AA3" s="14"/>
      <c r="AD3" s="16" t="s">
        <v>22</v>
      </c>
      <c r="AE3" s="16"/>
      <c r="AF3" s="16"/>
      <c r="AG3" s="16"/>
      <c r="AH3" s="16"/>
      <c r="AI3" s="17"/>
      <c r="AK3" s="13"/>
      <c r="AL3" s="18"/>
    </row>
    <row r="4" ht="12.6" customHeight="1" spans="2:38" x14ac:dyDescent="0.2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1" t="s">
        <v>23</v>
      </c>
      <c r="W4" s="21"/>
      <c r="X4" s="21"/>
      <c r="Y4" s="21"/>
      <c r="Z4" s="21"/>
      <c r="AA4" s="21"/>
      <c r="AB4" s="20"/>
      <c r="AC4" s="20"/>
      <c r="AD4" s="20"/>
      <c r="AE4" s="22" t="str">
        <f>'JOAO CARLOS DE QUEIROZ'!C3&amp;" "&amp;'JOAO CARLOS DE QUEIROZ'!E3</f>
        <v>Janeiro 2026</v>
      </c>
      <c r="AF4" s="22"/>
      <c r="AG4" s="22"/>
      <c r="AH4" s="22"/>
      <c r="AI4" s="23"/>
      <c r="AK4" s="13"/>
      <c r="AL4" s="18"/>
    </row>
    <row r="5" ht="11.25" customHeight="1" spans="2:38" x14ac:dyDescent="0.25">
      <c r="B5" s="13"/>
      <c r="D5" s="24"/>
      <c r="E5" s="24"/>
      <c r="F5" s="25"/>
      <c r="G5" s="25"/>
      <c r="H5" s="25"/>
      <c r="I5" s="25"/>
      <c r="J5" s="26" t="s">
        <v>24</v>
      </c>
      <c r="K5" s="26"/>
      <c r="L5" s="26"/>
      <c r="M5" s="26"/>
      <c r="N5" s="26"/>
      <c r="O5" s="26"/>
      <c r="P5" s="26"/>
      <c r="X5" s="27"/>
      <c r="Y5" s="27"/>
      <c r="Z5" s="27"/>
      <c r="AA5" s="27"/>
      <c r="AB5" s="27"/>
      <c r="AC5" s="27"/>
      <c r="AD5" s="27"/>
      <c r="AE5" s="27"/>
      <c r="AG5" s="27"/>
      <c r="AH5" s="27"/>
      <c r="AI5" s="28"/>
      <c r="AK5" s="13"/>
      <c r="AL5" s="18"/>
    </row>
    <row r="6" ht="11.85" customHeight="1" spans="2:38" x14ac:dyDescent="0.25">
      <c r="B6" s="29"/>
      <c r="C6" s="30"/>
      <c r="D6" s="30"/>
      <c r="E6" s="30"/>
      <c r="F6" s="30"/>
      <c r="G6" s="30"/>
      <c r="H6" s="30"/>
      <c r="J6" s="14" t="str">
        <f>IF('JOAO CARLOS DE QUEIROZ'!C2=0,"",'JOAO CARLOS DE QUEIROZ'!C2)</f>
        <v/>
      </c>
      <c r="K6" s="14"/>
      <c r="L6" s="14"/>
      <c r="M6" s="14"/>
      <c r="N6" s="14"/>
      <c r="O6" s="14"/>
      <c r="P6" s="14"/>
      <c r="X6" s="30"/>
      <c r="Y6" s="30"/>
      <c r="Z6" s="30"/>
      <c r="AA6" s="30"/>
      <c r="AB6" s="30"/>
      <c r="AC6" s="30"/>
      <c r="AD6" s="30"/>
      <c r="AE6" s="30"/>
      <c r="AG6" s="30"/>
      <c r="AH6" s="30"/>
      <c r="AI6" s="31"/>
      <c r="AK6" s="13"/>
      <c r="AL6" s="18"/>
    </row>
    <row r="7" ht="13.35" customHeight="1" spans="2:38" x14ac:dyDescent="0.25">
      <c r="B7" s="19"/>
      <c r="C7" s="20"/>
      <c r="D7" s="20"/>
      <c r="E7" s="20"/>
      <c r="F7" s="20"/>
      <c r="G7" s="20"/>
      <c r="H7" s="20"/>
      <c r="I7" s="20"/>
      <c r="J7" s="32" t="s">
        <v>25</v>
      </c>
      <c r="K7" s="32"/>
      <c r="L7" s="32"/>
      <c r="M7" s="32"/>
      <c r="N7" s="32"/>
      <c r="O7" s="32"/>
      <c r="P7" s="32"/>
      <c r="Q7" s="20"/>
      <c r="R7" s="20"/>
      <c r="S7" s="20"/>
      <c r="T7" s="20"/>
      <c r="U7" s="20"/>
      <c r="V7" s="20"/>
      <c r="W7" s="20"/>
      <c r="X7" s="20"/>
      <c r="Y7" s="20"/>
      <c r="Z7" s="20"/>
      <c r="AA7" s="32"/>
      <c r="AB7" s="32"/>
      <c r="AC7" s="32"/>
      <c r="AD7" s="32"/>
      <c r="AE7" s="32"/>
      <c r="AF7" s="32"/>
      <c r="AG7" s="32"/>
      <c r="AH7" s="32"/>
      <c r="AI7" s="33"/>
      <c r="AK7" s="13"/>
      <c r="AL7" s="18"/>
    </row>
    <row r="8" ht="10.35" customHeight="1" spans="2:38" x14ac:dyDescent="0.25">
      <c r="B8" s="13"/>
      <c r="AI8" s="18"/>
      <c r="AK8" s="13"/>
      <c r="AL8" s="18"/>
    </row>
    <row r="9" ht="15" customHeight="1" spans="2:38" x14ac:dyDescent="0.25">
      <c r="B9" s="34" t="s">
        <v>26</v>
      </c>
      <c r="C9" s="35"/>
      <c r="D9" s="36"/>
      <c r="E9" s="37"/>
      <c r="F9" s="38"/>
      <c r="G9" s="35" t="s">
        <v>27</v>
      </c>
      <c r="H9" s="35"/>
      <c r="I9" s="35"/>
      <c r="J9" s="35"/>
      <c r="K9" s="35"/>
      <c r="L9" s="35"/>
      <c r="M9" s="35"/>
      <c r="N9" s="35"/>
      <c r="O9" s="35"/>
      <c r="P9" s="35"/>
      <c r="Q9" s="36"/>
      <c r="R9" s="37"/>
      <c r="S9" s="39" t="s">
        <v>28</v>
      </c>
      <c r="T9" s="39"/>
      <c r="U9" s="39"/>
      <c r="V9" s="40"/>
      <c r="W9" s="9"/>
      <c r="X9" s="41" t="s">
        <v>29</v>
      </c>
      <c r="Y9" s="41"/>
      <c r="Z9" s="41"/>
      <c r="AA9" s="41"/>
      <c r="AB9" s="41"/>
      <c r="AC9" s="41"/>
      <c r="AD9" s="41"/>
      <c r="AE9" s="41"/>
      <c r="AF9" s="41"/>
      <c r="AG9" s="41"/>
      <c r="AH9" s="42"/>
      <c r="AI9" s="43"/>
      <c r="AK9" s="13"/>
      <c r="AL9" s="18"/>
    </row>
    <row r="10" ht="15" customHeight="1" spans="2:41" x14ac:dyDescent="0.25">
      <c r="B10" s="44"/>
      <c r="C10" s="45"/>
      <c r="D10" s="46"/>
      <c r="E10" s="13"/>
      <c r="G10" s="47" t="s">
        <v>30</v>
      </c>
      <c r="H10" s="47"/>
      <c r="I10" s="47"/>
      <c r="J10" s="47"/>
      <c r="K10" s="47"/>
      <c r="L10" s="47"/>
      <c r="M10" s="47"/>
      <c r="N10" s="47"/>
      <c r="O10" s="47"/>
      <c r="P10" s="47"/>
      <c r="Q10" s="48"/>
      <c r="R10" s="49"/>
      <c r="S10" s="50"/>
      <c r="T10" s="50"/>
      <c r="U10" s="50"/>
      <c r="V10" s="51"/>
      <c r="W10" s="52">
        <f>'JOAO CARLOS DE QUEIROZ'!C4</f>
        <v>0</v>
      </c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4"/>
      <c r="AI10" s="51"/>
      <c r="AK10" s="13"/>
      <c r="AL10" s="18"/>
      <c r="AO10" s="55"/>
    </row>
    <row r="11" ht="11.85" customHeight="1" spans="2:42" x14ac:dyDescent="0.25">
      <c r="B11" s="56"/>
      <c r="C11" s="57"/>
      <c r="D11" s="58"/>
      <c r="E11" s="13"/>
      <c r="G11" s="14" t="s">
        <v>31</v>
      </c>
      <c r="H11" s="14"/>
      <c r="I11" s="14"/>
      <c r="J11" s="14"/>
      <c r="K11" s="14"/>
      <c r="L11" s="14"/>
      <c r="M11" s="14"/>
      <c r="N11" s="14"/>
      <c r="O11" s="14"/>
      <c r="P11" s="14"/>
      <c r="Q11" s="59"/>
      <c r="R11" s="60"/>
      <c r="S11" s="61"/>
      <c r="T11" s="61"/>
      <c r="U11" s="61"/>
      <c r="V11" s="62"/>
      <c r="W11" s="63">
        <f>$W$10/VLOOKUP('JOAO CARLOS DE QUEIROZ'!$C$3,'JOAO CARLOS DE QUEIROZ'!$G$2:$H$13,2,0)*VLOOKUP('JOAO CARLOS DE QUEIROZ'!$C$3,'JOAO CARLOS DE QUEIROZ'!$G$2:$I$13,3,0)</f>
        <v>0</v>
      </c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5"/>
      <c r="AI11" s="62"/>
      <c r="AK11" s="13"/>
      <c r="AL11" s="18"/>
      <c r="AO11" s="55"/>
      <c r="AP11" s="55"/>
    </row>
    <row r="12" ht="12.6" customHeight="1" spans="2:41" x14ac:dyDescent="0.25">
      <c r="B12" s="56"/>
      <c r="C12" s="57"/>
      <c r="D12" s="58"/>
      <c r="E12" s="13"/>
      <c r="G12" s="14" t="s">
        <v>32</v>
      </c>
      <c r="H12" s="14"/>
      <c r="I12" s="14"/>
      <c r="J12" s="14"/>
      <c r="K12" s="14"/>
      <c r="L12" s="14"/>
      <c r="M12" s="14"/>
      <c r="N12" s="14"/>
      <c r="O12" s="14"/>
      <c r="P12" s="14"/>
      <c r="Q12" s="59"/>
      <c r="R12" s="60"/>
      <c r="S12" s="61"/>
      <c r="T12" s="61"/>
      <c r="U12" s="61"/>
      <c r="V12" s="62"/>
      <c r="W12" s="63">
        <f>SUM($W$10:$AH$11)/12</f>
        <v>0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5"/>
      <c r="AI12" s="62"/>
      <c r="AK12" s="13"/>
      <c r="AL12" s="18"/>
      <c r="AO12" s="55"/>
    </row>
    <row r="13" ht="12.75" customHeight="1" spans="2:38" x14ac:dyDescent="0.25">
      <c r="B13" s="56"/>
      <c r="C13" s="57"/>
      <c r="D13" s="58"/>
      <c r="E13" s="13"/>
      <c r="G13" s="14" t="s">
        <v>33</v>
      </c>
      <c r="H13" s="14"/>
      <c r="I13" s="14"/>
      <c r="J13" s="14"/>
      <c r="K13" s="14"/>
      <c r="L13" s="14"/>
      <c r="M13" s="14"/>
      <c r="N13" s="14"/>
      <c r="O13" s="14"/>
      <c r="P13" s="14"/>
      <c r="Q13" s="59"/>
      <c r="R13" s="60"/>
      <c r="S13" s="61"/>
      <c r="T13" s="61"/>
      <c r="U13" s="61"/>
      <c r="V13" s="62"/>
      <c r="W13" s="63">
        <f>SUM($W$10:$AH$11)/12</f>
        <v>0</v>
      </c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5"/>
      <c r="AI13" s="62"/>
      <c r="AK13" s="13"/>
      <c r="AL13" s="18"/>
    </row>
    <row r="14" ht="12.75" customHeight="1" spans="2:38" x14ac:dyDescent="0.25">
      <c r="B14" s="56"/>
      <c r="C14" s="57"/>
      <c r="D14" s="58"/>
      <c r="E14" s="13"/>
      <c r="G14" s="14" t="s">
        <v>34</v>
      </c>
      <c r="H14" s="14"/>
      <c r="I14" s="14"/>
      <c r="J14" s="14"/>
      <c r="K14" s="14"/>
      <c r="L14" s="14"/>
      <c r="M14" s="14"/>
      <c r="N14" s="14"/>
      <c r="O14" s="14"/>
      <c r="P14" s="14"/>
      <c r="Q14" s="59"/>
      <c r="R14" s="60"/>
      <c r="S14" s="61"/>
      <c r="T14" s="61"/>
      <c r="U14" s="61"/>
      <c r="V14" s="62"/>
      <c r="W14" s="63">
        <f>$W$13/3</f>
        <v>0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5"/>
      <c r="AI14" s="62"/>
      <c r="AK14" s="13"/>
      <c r="AL14" s="18"/>
    </row>
    <row r="15" ht="12.75" customHeight="1" spans="2:38" x14ac:dyDescent="0.25">
      <c r="B15" s="56"/>
      <c r="C15" s="57"/>
      <c r="D15" s="58"/>
      <c r="E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59"/>
      <c r="R15" s="60"/>
      <c r="S15" s="61"/>
      <c r="T15" s="61"/>
      <c r="U15" s="61"/>
      <c r="V15" s="62"/>
      <c r="W15" s="63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2"/>
      <c r="AK15" s="13"/>
      <c r="AL15" s="18"/>
    </row>
    <row r="16" ht="12.75" customHeight="1" spans="2:38" x14ac:dyDescent="0.25">
      <c r="B16" s="56"/>
      <c r="C16" s="57"/>
      <c r="D16" s="58"/>
      <c r="E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59"/>
      <c r="R16" s="60"/>
      <c r="S16" s="61"/>
      <c r="T16" s="61"/>
      <c r="U16" s="61"/>
      <c r="V16" s="62"/>
      <c r="W16" s="63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5"/>
      <c r="AI16" s="62"/>
      <c r="AK16" s="13"/>
      <c r="AL16" s="18"/>
    </row>
    <row r="17" ht="12.75" customHeight="1" spans="2:38" x14ac:dyDescent="0.25">
      <c r="B17" s="56"/>
      <c r="C17" s="57"/>
      <c r="D17" s="58"/>
      <c r="E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59"/>
      <c r="R17" s="60"/>
      <c r="S17" s="61"/>
      <c r="T17" s="61"/>
      <c r="U17" s="61"/>
      <c r="V17" s="62"/>
      <c r="W17" s="60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2"/>
      <c r="AI17" s="62"/>
      <c r="AK17" s="13"/>
      <c r="AL17" s="18"/>
    </row>
    <row r="18" ht="12.75" customHeight="1" spans="2:38" x14ac:dyDescent="0.25">
      <c r="B18" s="56"/>
      <c r="C18" s="57"/>
      <c r="D18" s="58"/>
      <c r="E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59"/>
      <c r="R18" s="60"/>
      <c r="S18" s="61"/>
      <c r="T18" s="61"/>
      <c r="U18" s="61"/>
      <c r="V18" s="62"/>
      <c r="W18" s="60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2"/>
      <c r="AI18" s="62"/>
      <c r="AK18" s="13"/>
      <c r="AL18" s="18"/>
    </row>
    <row r="19" ht="12.75" customHeight="1" spans="2:38" x14ac:dyDescent="0.25">
      <c r="B19" s="56"/>
      <c r="C19" s="57"/>
      <c r="D19" s="58"/>
      <c r="E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59"/>
      <c r="R19" s="60"/>
      <c r="S19" s="61"/>
      <c r="T19" s="61"/>
      <c r="U19" s="61"/>
      <c r="V19" s="62"/>
      <c r="W19" s="60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2"/>
      <c r="AI19" s="62"/>
      <c r="AK19" s="13"/>
      <c r="AL19" s="18"/>
    </row>
    <row r="20" ht="12.75" customHeight="1" spans="2:38" x14ac:dyDescent="0.25">
      <c r="B20" s="56"/>
      <c r="C20" s="57"/>
      <c r="D20" s="58"/>
      <c r="E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59"/>
      <c r="R20" s="60"/>
      <c r="S20" s="61"/>
      <c r="T20" s="61"/>
      <c r="U20" s="61"/>
      <c r="V20" s="62"/>
      <c r="W20" s="60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2"/>
      <c r="AI20" s="62"/>
      <c r="AK20" s="13"/>
      <c r="AL20" s="18"/>
    </row>
    <row r="21" ht="12.75" customHeight="1" spans="2:41" x14ac:dyDescent="0.25">
      <c r="B21" s="56"/>
      <c r="C21" s="57"/>
      <c r="D21" s="58"/>
      <c r="E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59"/>
      <c r="R21" s="60"/>
      <c r="S21" s="61"/>
      <c r="T21" s="61"/>
      <c r="U21" s="61"/>
      <c r="V21" s="62"/>
      <c r="W21" s="60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2"/>
      <c r="AI21" s="62"/>
      <c r="AK21" s="13"/>
      <c r="AL21" s="18"/>
      <c r="AO21" s="66"/>
    </row>
    <row r="22" ht="12.75" customHeight="1" spans="2:38" x14ac:dyDescent="0.25">
      <c r="B22" s="56"/>
      <c r="C22" s="57"/>
      <c r="D22" s="58"/>
      <c r="E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59"/>
      <c r="R22" s="60"/>
      <c r="S22" s="61"/>
      <c r="T22" s="61"/>
      <c r="U22" s="61"/>
      <c r="V22" s="62"/>
      <c r="W22" s="60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2"/>
      <c r="AI22" s="62"/>
      <c r="AK22" s="13"/>
      <c r="AL22" s="18"/>
    </row>
    <row r="23" ht="12.75" customHeight="1" spans="2:38" x14ac:dyDescent="0.25">
      <c r="B23" s="56"/>
      <c r="C23" s="57"/>
      <c r="D23" s="58"/>
      <c r="E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59"/>
      <c r="R23" s="60"/>
      <c r="S23" s="61"/>
      <c r="T23" s="61"/>
      <c r="U23" s="61"/>
      <c r="V23" s="62"/>
      <c r="W23" s="60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2"/>
      <c r="AI23" s="62"/>
      <c r="AK23" s="67" t="s">
        <v>35</v>
      </c>
      <c r="AL23" s="18"/>
    </row>
    <row r="24" ht="12.75" customHeight="1" spans="2:38" x14ac:dyDescent="0.25">
      <c r="B24" s="56"/>
      <c r="C24" s="57"/>
      <c r="D24" s="58"/>
      <c r="E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59"/>
      <c r="R24" s="60"/>
      <c r="S24" s="61"/>
      <c r="T24" s="61"/>
      <c r="U24" s="61"/>
      <c r="V24" s="62"/>
      <c r="W24" s="60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2"/>
      <c r="AI24" s="62"/>
      <c r="AK24" s="67"/>
      <c r="AL24" s="18"/>
    </row>
    <row r="25" ht="12.75" customHeight="1" spans="2:38" x14ac:dyDescent="0.25">
      <c r="B25" s="19"/>
      <c r="C25" s="20"/>
      <c r="D25" s="3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3"/>
      <c r="R25" s="60"/>
      <c r="S25" s="61"/>
      <c r="T25" s="61"/>
      <c r="U25" s="61"/>
      <c r="V25" s="62"/>
      <c r="W25" s="68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70"/>
      <c r="AI25" s="62"/>
      <c r="AK25" s="67"/>
      <c r="AL25" s="71"/>
    </row>
    <row r="26" ht="15.75" customHeight="1" spans="2:41" x14ac:dyDescent="0.25">
      <c r="B26" s="72" t="s">
        <v>36</v>
      </c>
      <c r="C26" s="73"/>
      <c r="D26" s="73"/>
      <c r="E26" s="73"/>
      <c r="F26" s="73"/>
      <c r="G26" s="73"/>
      <c r="H26" s="73"/>
      <c r="I26" s="73"/>
      <c r="J26" s="73"/>
      <c r="K26" s="73"/>
      <c r="L26" s="11"/>
      <c r="M26" s="73" t="s">
        <v>1</v>
      </c>
      <c r="N26" s="11"/>
      <c r="O26" s="11"/>
      <c r="P26" s="11"/>
      <c r="Q26" s="11"/>
      <c r="R26" s="11"/>
      <c r="S26" s="11"/>
      <c r="T26" s="11"/>
      <c r="U26" s="11"/>
      <c r="V26" s="12"/>
      <c r="W26" s="13"/>
      <c r="Y26" s="74" t="s">
        <v>37</v>
      </c>
      <c r="Z26" s="74"/>
      <c r="AA26" s="74"/>
      <c r="AB26" s="74"/>
      <c r="AC26" s="74"/>
      <c r="AD26" s="74"/>
      <c r="AE26" s="74"/>
      <c r="AF26" s="74"/>
      <c r="AG26" s="74"/>
      <c r="AH26" s="18"/>
      <c r="AI26" s="75" t="s">
        <v>38</v>
      </c>
      <c r="AK26" s="67"/>
      <c r="AL26" s="18"/>
      <c r="AO26" s="66"/>
    </row>
    <row r="27" ht="4.7" customHeight="1" spans="2:38" x14ac:dyDescent="0.25">
      <c r="B27" s="13"/>
      <c r="V27" s="18"/>
      <c r="W27" s="13"/>
      <c r="AH27" s="18"/>
      <c r="AI27" s="76"/>
      <c r="AK27" s="67"/>
      <c r="AL27" s="18"/>
    </row>
    <row r="28" ht="6.95" customHeight="1" spans="2:38" x14ac:dyDescent="0.25">
      <c r="B28" s="77" t="s">
        <v>1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9"/>
      <c r="W28" s="13"/>
      <c r="X28" s="80">
        <f>SUM(W10:AH25)</f>
        <v>0</v>
      </c>
      <c r="Y28" s="80"/>
      <c r="Z28" s="80"/>
      <c r="AA28" s="80"/>
      <c r="AB28" s="80"/>
      <c r="AC28" s="80"/>
      <c r="AD28" s="80"/>
      <c r="AE28" s="80"/>
      <c r="AF28" s="80"/>
      <c r="AG28" s="80"/>
      <c r="AH28" s="18"/>
      <c r="AI28" s="76"/>
      <c r="AK28" s="67"/>
      <c r="AL28" s="18"/>
    </row>
    <row r="29" ht="5.45" customHeight="1" spans="2:38" x14ac:dyDescent="0.25"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9"/>
      <c r="W29" s="13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18"/>
      <c r="AI29" s="76"/>
      <c r="AK29" s="67"/>
      <c r="AL29" s="18"/>
    </row>
    <row r="30" ht="8.85" customHeight="1" spans="2:38" x14ac:dyDescent="0.25">
      <c r="B30" s="77" t="s">
        <v>1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9"/>
      <c r="W30" s="19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33"/>
      <c r="AI30" s="81"/>
      <c r="AK30" s="67"/>
      <c r="AL30" s="18"/>
    </row>
    <row r="31" ht="5.45" customHeight="1" spans="2:38" x14ac:dyDescent="0.25"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9"/>
      <c r="W31" s="9"/>
      <c r="X31" s="11"/>
      <c r="Y31" s="11"/>
      <c r="Z31" s="11"/>
      <c r="AA31" s="11"/>
      <c r="AB31" s="11"/>
      <c r="AC31" s="11"/>
      <c r="AD31" s="82"/>
      <c r="AE31" s="82"/>
      <c r="AF31" s="82"/>
      <c r="AG31" s="11"/>
      <c r="AH31" s="12"/>
      <c r="AI31" s="83"/>
      <c r="AK31" s="67"/>
      <c r="AL31" s="18"/>
    </row>
    <row r="32" ht="11.1" customHeight="1" spans="2:38" x14ac:dyDescent="0.25">
      <c r="B32" s="13"/>
      <c r="V32" s="18"/>
      <c r="W32" s="13"/>
      <c r="X32" s="84" t="s">
        <v>39</v>
      </c>
      <c r="Y32" s="84"/>
      <c r="Z32" s="84"/>
      <c r="AA32" s="84"/>
      <c r="AB32" s="84"/>
      <c r="AD32" s="85"/>
      <c r="AE32" s="85"/>
      <c r="AF32" s="85"/>
      <c r="AH32" s="18"/>
      <c r="AI32" s="86">
        <f>X28</f>
        <v>0</v>
      </c>
      <c r="AK32" s="67"/>
      <c r="AL32" s="18"/>
    </row>
    <row r="33" ht="6.95" customHeight="1" spans="2:38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33"/>
      <c r="W33" s="19"/>
      <c r="X33" s="20"/>
      <c r="Y33" s="20"/>
      <c r="Z33" s="20"/>
      <c r="AA33" s="20"/>
      <c r="AB33" s="20"/>
      <c r="AC33" s="20"/>
      <c r="AD33" s="87"/>
      <c r="AE33" s="87"/>
      <c r="AF33" s="87"/>
      <c r="AG33" s="20"/>
      <c r="AH33" s="33"/>
      <c r="AI33" s="81"/>
      <c r="AK33" s="67"/>
      <c r="AL33" s="18"/>
    </row>
    <row r="34" ht="15.75" customHeight="1" spans="2:38" x14ac:dyDescent="0.25">
      <c r="B34" s="88" t="s">
        <v>40</v>
      </c>
      <c r="C34" s="41"/>
      <c r="D34" s="41"/>
      <c r="E34" s="41"/>
      <c r="F34" s="41"/>
      <c r="G34" s="41"/>
      <c r="H34" s="41"/>
      <c r="I34" s="41"/>
      <c r="J34" s="41"/>
      <c r="K34" s="89"/>
      <c r="L34" s="41"/>
      <c r="M34" s="41"/>
      <c r="N34" s="89"/>
      <c r="O34" s="41"/>
      <c r="P34" s="41"/>
      <c r="Q34" s="41"/>
      <c r="R34" s="41"/>
      <c r="S34" s="89"/>
      <c r="T34" s="41"/>
      <c r="U34" s="41"/>
      <c r="V34" s="41"/>
      <c r="W34" s="41"/>
      <c r="X34" s="41"/>
      <c r="Y34" s="89"/>
      <c r="Z34" s="41"/>
      <c r="AA34" s="41"/>
      <c r="AB34" s="41"/>
      <c r="AC34" s="41"/>
      <c r="AD34" s="41"/>
      <c r="AE34" s="41"/>
      <c r="AF34" s="41"/>
      <c r="AG34" s="41"/>
      <c r="AH34" s="41"/>
      <c r="AI34" s="42"/>
      <c r="AK34" s="67"/>
      <c r="AL34" s="18"/>
    </row>
    <row r="35" ht="12.6" customHeight="1" spans="2:38" x14ac:dyDescent="0.25">
      <c r="B35" s="90">
        <f>AI32</f>
        <v>0</v>
      </c>
      <c r="C35" s="91"/>
      <c r="D35" s="91"/>
      <c r="E35" s="91"/>
      <c r="F35" s="91"/>
      <c r="G35" s="91"/>
      <c r="H35" s="91"/>
      <c r="I35" s="91"/>
      <c r="J35" s="91"/>
      <c r="K35" s="20"/>
      <c r="L35" s="92"/>
      <c r="M35" s="92"/>
      <c r="N35" s="20"/>
      <c r="O35" s="92"/>
      <c r="P35" s="92"/>
      <c r="Q35" s="92"/>
      <c r="R35" s="92"/>
      <c r="S35" s="20"/>
      <c r="T35" s="92"/>
      <c r="U35" s="92"/>
      <c r="V35" s="92"/>
      <c r="W35" s="92"/>
      <c r="X35" s="92"/>
      <c r="Y35" s="20"/>
      <c r="Z35" s="92"/>
      <c r="AA35" s="92"/>
      <c r="AB35" s="92"/>
      <c r="AC35" s="92"/>
      <c r="AD35" s="92"/>
      <c r="AE35" s="92"/>
      <c r="AF35" s="92"/>
      <c r="AG35" s="92"/>
      <c r="AH35" s="92"/>
      <c r="AI35" s="93"/>
      <c r="AK35" s="19"/>
      <c r="AL35" s="33"/>
    </row>
    <row r="36" ht="7.7" customHeight="1" x14ac:dyDescent="0.25"/>
    <row r="38" spans="2:38" x14ac:dyDescent="0.25">
      <c r="B38" s="9"/>
      <c r="C38" s="10" t="s">
        <v>17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1"/>
      <c r="AH38" s="11"/>
      <c r="AI38" s="12"/>
      <c r="AK38" s="9"/>
      <c r="AL38" s="12"/>
    </row>
    <row r="39" spans="2:38" x14ac:dyDescent="0.25">
      <c r="B39" s="13"/>
      <c r="C39" s="14" t="s">
        <v>18</v>
      </c>
      <c r="D39" s="14"/>
      <c r="E39" s="14"/>
      <c r="F39" s="14"/>
      <c r="G39" s="14"/>
      <c r="I39" s="14" t="s">
        <v>19</v>
      </c>
      <c r="J39" s="14"/>
      <c r="K39" s="14"/>
      <c r="L39" s="14"/>
      <c r="M39" s="14"/>
      <c r="N39" s="14"/>
      <c r="P39" s="15" t="s">
        <v>20</v>
      </c>
      <c r="Q39" s="15"/>
      <c r="R39" s="15"/>
      <c r="S39" s="14" t="s">
        <v>21</v>
      </c>
      <c r="T39" s="14"/>
      <c r="U39" s="14"/>
      <c r="V39" s="14"/>
      <c r="W39" s="14"/>
      <c r="X39" s="14"/>
      <c r="Y39" s="14"/>
      <c r="Z39" s="14"/>
      <c r="AA39" s="14"/>
      <c r="AD39" s="16" t="s">
        <v>22</v>
      </c>
      <c r="AE39" s="16"/>
      <c r="AF39" s="16"/>
      <c r="AG39" s="16"/>
      <c r="AH39" s="16"/>
      <c r="AI39" s="17"/>
      <c r="AK39" s="13"/>
      <c r="AL39" s="18"/>
    </row>
    <row r="40" spans="2:38" x14ac:dyDescent="0.25"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1" t="s">
        <v>23</v>
      </c>
      <c r="W40" s="21"/>
      <c r="X40" s="21"/>
      <c r="Y40" s="21"/>
      <c r="Z40" s="21"/>
      <c r="AA40" s="21"/>
      <c r="AB40" s="20"/>
      <c r="AC40" s="20"/>
      <c r="AD40" s="20"/>
      <c r="AE40" s="22" t="str">
        <f>AE4</f>
        <v>Janeiro 2026</v>
      </c>
      <c r="AF40" s="22"/>
      <c r="AG40" s="22"/>
      <c r="AH40" s="22"/>
      <c r="AI40" s="23"/>
      <c r="AK40" s="13"/>
      <c r="AL40" s="18"/>
    </row>
    <row r="41" spans="2:38" x14ac:dyDescent="0.25">
      <c r="B41" s="13"/>
      <c r="D41" s="24"/>
      <c r="E41" s="24"/>
      <c r="F41" s="25"/>
      <c r="G41" s="25"/>
      <c r="H41" s="25"/>
      <c r="I41" s="25"/>
      <c r="J41" s="26" t="s">
        <v>24</v>
      </c>
      <c r="K41" s="26"/>
      <c r="L41" s="26"/>
      <c r="M41" s="26"/>
      <c r="N41" s="26"/>
      <c r="O41" s="26"/>
      <c r="P41" s="26"/>
      <c r="X41" s="27"/>
      <c r="Y41" s="27"/>
      <c r="Z41" s="27"/>
      <c r="AA41" s="27"/>
      <c r="AB41" s="27"/>
      <c r="AC41" s="27"/>
      <c r="AD41" s="27"/>
      <c r="AE41" s="27"/>
      <c r="AG41" s="27"/>
      <c r="AH41" s="27"/>
      <c r="AI41" s="28"/>
      <c r="AK41" s="13"/>
      <c r="AL41" s="18"/>
    </row>
    <row r="42" spans="2:38" x14ac:dyDescent="0.25">
      <c r="B42" s="29"/>
      <c r="C42" s="30"/>
      <c r="D42" s="30"/>
      <c r="E42" s="30"/>
      <c r="F42" s="30"/>
      <c r="G42" s="30"/>
      <c r="H42" s="30"/>
      <c r="J42" s="14" t="str">
        <f>J6</f>
        <v/>
      </c>
      <c r="K42" s="14"/>
      <c r="L42" s="14"/>
      <c r="M42" s="14"/>
      <c r="N42" s="14"/>
      <c r="O42" s="14"/>
      <c r="P42" s="14"/>
      <c r="X42" s="30"/>
      <c r="Y42" s="30"/>
      <c r="Z42" s="30"/>
      <c r="AA42" s="30"/>
      <c r="AB42" s="30"/>
      <c r="AC42" s="30"/>
      <c r="AD42" s="30"/>
      <c r="AE42" s="30"/>
      <c r="AG42" s="30"/>
      <c r="AH42" s="30"/>
      <c r="AI42" s="31"/>
      <c r="AK42" s="13"/>
      <c r="AL42" s="18"/>
    </row>
    <row r="43" spans="2:38" x14ac:dyDescent="0.25">
      <c r="B43" s="19"/>
      <c r="C43" s="20"/>
      <c r="D43" s="20"/>
      <c r="E43" s="20"/>
      <c r="F43" s="20"/>
      <c r="G43" s="20"/>
      <c r="H43" s="20"/>
      <c r="I43" s="20"/>
      <c r="J43" s="32" t="s">
        <v>25</v>
      </c>
      <c r="K43" s="32"/>
      <c r="L43" s="32"/>
      <c r="M43" s="32"/>
      <c r="N43" s="32"/>
      <c r="O43" s="32"/>
      <c r="P43" s="32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32"/>
      <c r="AB43" s="32"/>
      <c r="AC43" s="32"/>
      <c r="AD43" s="32"/>
      <c r="AE43" s="32"/>
      <c r="AF43" s="32"/>
      <c r="AG43" s="32"/>
      <c r="AH43" s="32"/>
      <c r="AI43" s="33"/>
      <c r="AK43" s="13"/>
      <c r="AL43" s="18"/>
    </row>
    <row r="44" ht="10.5" customHeight="1" spans="2:38" x14ac:dyDescent="0.25">
      <c r="B44" s="13"/>
      <c r="AI44" s="18"/>
      <c r="AK44" s="13"/>
      <c r="AL44" s="18"/>
    </row>
    <row r="45" spans="2:38" x14ac:dyDescent="0.25">
      <c r="B45" s="34" t="s">
        <v>26</v>
      </c>
      <c r="C45" s="35"/>
      <c r="D45" s="36"/>
      <c r="E45" s="37"/>
      <c r="F45" s="38"/>
      <c r="G45" s="35" t="s">
        <v>27</v>
      </c>
      <c r="H45" s="35"/>
      <c r="I45" s="35"/>
      <c r="J45" s="35"/>
      <c r="K45" s="35"/>
      <c r="L45" s="35"/>
      <c r="M45" s="35"/>
      <c r="N45" s="35"/>
      <c r="O45" s="35"/>
      <c r="P45" s="35"/>
      <c r="Q45" s="36"/>
      <c r="R45" s="37"/>
      <c r="S45" s="39" t="s">
        <v>28</v>
      </c>
      <c r="T45" s="39"/>
      <c r="U45" s="39"/>
      <c r="V45" s="40"/>
      <c r="W45" s="9"/>
      <c r="X45" s="41" t="s">
        <v>29</v>
      </c>
      <c r="Y45" s="41"/>
      <c r="Z45" s="41"/>
      <c r="AA45" s="41"/>
      <c r="AB45" s="41"/>
      <c r="AC45" s="41"/>
      <c r="AD45" s="41"/>
      <c r="AE45" s="41"/>
      <c r="AF45" s="41"/>
      <c r="AG45" s="41"/>
      <c r="AH45" s="42"/>
      <c r="AI45" s="43"/>
      <c r="AK45" s="13"/>
      <c r="AL45" s="18"/>
    </row>
    <row r="46" spans="2:38" x14ac:dyDescent="0.25">
      <c r="B46" s="44"/>
      <c r="C46" s="45"/>
      <c r="D46" s="46"/>
      <c r="E46" s="13"/>
      <c r="G46" s="47" t="s">
        <v>30</v>
      </c>
      <c r="H46" s="47"/>
      <c r="I46" s="47"/>
      <c r="J46" s="47"/>
      <c r="K46" s="47"/>
      <c r="L46" s="47"/>
      <c r="M46" s="47"/>
      <c r="N46" s="47"/>
      <c r="O46" s="47"/>
      <c r="P46" s="47"/>
      <c r="Q46" s="48"/>
      <c r="R46" s="49"/>
      <c r="S46" s="50"/>
      <c r="T46" s="50"/>
      <c r="U46" s="50"/>
      <c r="V46" s="51"/>
      <c r="W46" s="52">
        <f>W10</f>
        <v>0</v>
      </c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4"/>
      <c r="AI46" s="51"/>
      <c r="AK46" s="13"/>
      <c r="AL46" s="18"/>
    </row>
    <row r="47" spans="2:38" x14ac:dyDescent="0.25">
      <c r="B47" s="56"/>
      <c r="C47" s="57"/>
      <c r="D47" s="58"/>
      <c r="E47" s="13"/>
      <c r="G47" s="14" t="s">
        <v>31</v>
      </c>
      <c r="H47" s="14"/>
      <c r="I47" s="14"/>
      <c r="J47" s="14"/>
      <c r="K47" s="14"/>
      <c r="L47" s="14"/>
      <c r="M47" s="14"/>
      <c r="N47" s="14"/>
      <c r="O47" s="14"/>
      <c r="P47" s="14"/>
      <c r="Q47" s="59"/>
      <c r="R47" s="60"/>
      <c r="S47" s="61"/>
      <c r="T47" s="61"/>
      <c r="U47" s="61"/>
      <c r="V47" s="62"/>
      <c r="W47" s="63">
        <f>$W$10/VLOOKUP('JOAO CARLOS DE QUEIROZ'!$C$3,'JOAO CARLOS DE QUEIROZ'!$G$2:$H$13,2,0)*VLOOKUP('JOAO CARLOS DE QUEIROZ'!$C$3,'JOAO CARLOS DE QUEIROZ'!$G$2:$I$13,3,0)</f>
        <v>0</v>
      </c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5"/>
      <c r="AI47" s="62"/>
      <c r="AK47" s="13"/>
      <c r="AL47" s="18"/>
    </row>
    <row r="48" spans="2:38" x14ac:dyDescent="0.25">
      <c r="B48" s="56"/>
      <c r="C48" s="57"/>
      <c r="D48" s="58"/>
      <c r="E48" s="13"/>
      <c r="G48" s="14" t="s">
        <v>32</v>
      </c>
      <c r="H48" s="14"/>
      <c r="I48" s="14"/>
      <c r="J48" s="14"/>
      <c r="K48" s="14"/>
      <c r="L48" s="14"/>
      <c r="M48" s="14"/>
      <c r="N48" s="14"/>
      <c r="O48" s="14"/>
      <c r="P48" s="14"/>
      <c r="Q48" s="59"/>
      <c r="R48" s="60"/>
      <c r="S48" s="61"/>
      <c r="T48" s="61"/>
      <c r="U48" s="61"/>
      <c r="V48" s="62"/>
      <c r="W48" s="63">
        <f>SUM($W$10:$AH$11)/12</f>
        <v>0</v>
      </c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5"/>
      <c r="AI48" s="62"/>
      <c r="AK48" s="13"/>
      <c r="AL48" s="18"/>
    </row>
    <row r="49" spans="2:38" x14ac:dyDescent="0.25">
      <c r="B49" s="56"/>
      <c r="C49" s="57"/>
      <c r="D49" s="58"/>
      <c r="E49" s="13"/>
      <c r="G49" s="14" t="s">
        <v>33</v>
      </c>
      <c r="H49" s="14"/>
      <c r="I49" s="14"/>
      <c r="J49" s="14"/>
      <c r="K49" s="14"/>
      <c r="L49" s="14"/>
      <c r="M49" s="14"/>
      <c r="N49" s="14"/>
      <c r="O49" s="14"/>
      <c r="P49" s="14"/>
      <c r="Q49" s="59"/>
      <c r="R49" s="60"/>
      <c r="S49" s="61"/>
      <c r="T49" s="61"/>
      <c r="U49" s="61"/>
      <c r="V49" s="62"/>
      <c r="W49" s="63">
        <f>SUM($W$10:$AH$11)/12</f>
        <v>0</v>
      </c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5"/>
      <c r="AI49" s="62"/>
      <c r="AK49" s="13"/>
      <c r="AL49" s="18"/>
    </row>
    <row r="50" spans="2:38" x14ac:dyDescent="0.25">
      <c r="B50" s="56"/>
      <c r="C50" s="57"/>
      <c r="D50" s="58"/>
      <c r="E50" s="13"/>
      <c r="G50" s="14" t="s">
        <v>34</v>
      </c>
      <c r="H50" s="14"/>
      <c r="I50" s="14"/>
      <c r="J50" s="14"/>
      <c r="K50" s="14"/>
      <c r="L50" s="14"/>
      <c r="M50" s="14"/>
      <c r="N50" s="14"/>
      <c r="O50" s="14"/>
      <c r="P50" s="14"/>
      <c r="Q50" s="59"/>
      <c r="R50" s="60"/>
      <c r="S50" s="61"/>
      <c r="T50" s="61"/>
      <c r="U50" s="61"/>
      <c r="V50" s="62"/>
      <c r="W50" s="63">
        <f>$W$13/3</f>
        <v>0</v>
      </c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5"/>
      <c r="AI50" s="62"/>
      <c r="AK50" s="13"/>
      <c r="AL50" s="18"/>
    </row>
    <row r="51" spans="2:38" x14ac:dyDescent="0.25">
      <c r="B51" s="56"/>
      <c r="C51" s="57"/>
      <c r="D51" s="58"/>
      <c r="E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59"/>
      <c r="R51" s="60"/>
      <c r="S51" s="61"/>
      <c r="T51" s="61"/>
      <c r="U51" s="61"/>
      <c r="V51" s="62"/>
      <c r="W51" s="63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5"/>
      <c r="AI51" s="62"/>
      <c r="AK51" s="13"/>
      <c r="AL51" s="18"/>
    </row>
    <row r="52" spans="2:38" x14ac:dyDescent="0.25">
      <c r="B52" s="56"/>
      <c r="C52" s="57"/>
      <c r="D52" s="58"/>
      <c r="E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59"/>
      <c r="R52" s="60"/>
      <c r="S52" s="61"/>
      <c r="T52" s="61"/>
      <c r="U52" s="61"/>
      <c r="V52" s="62"/>
      <c r="W52" s="63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5"/>
      <c r="AI52" s="62"/>
      <c r="AK52" s="13"/>
      <c r="AL52" s="18"/>
    </row>
    <row r="53" spans="2:38" x14ac:dyDescent="0.25">
      <c r="B53" s="56"/>
      <c r="C53" s="57"/>
      <c r="D53" s="58"/>
      <c r="E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59"/>
      <c r="R53" s="60"/>
      <c r="S53" s="61"/>
      <c r="T53" s="61"/>
      <c r="U53" s="61"/>
      <c r="V53" s="62"/>
      <c r="W53" s="60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2"/>
      <c r="AI53" s="62"/>
      <c r="AK53" s="13"/>
      <c r="AL53" s="18"/>
    </row>
    <row r="54" spans="2:38" x14ac:dyDescent="0.25">
      <c r="B54" s="56"/>
      <c r="C54" s="57"/>
      <c r="D54" s="58"/>
      <c r="E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59"/>
      <c r="R54" s="60"/>
      <c r="S54" s="61"/>
      <c r="T54" s="61"/>
      <c r="U54" s="61"/>
      <c r="V54" s="62"/>
      <c r="W54" s="60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2"/>
      <c r="AI54" s="62"/>
      <c r="AK54" s="13"/>
      <c r="AL54" s="18"/>
    </row>
    <row r="55" spans="2:38" x14ac:dyDescent="0.25">
      <c r="B55" s="56"/>
      <c r="C55" s="57"/>
      <c r="D55" s="58"/>
      <c r="E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59"/>
      <c r="R55" s="60"/>
      <c r="S55" s="61"/>
      <c r="T55" s="61"/>
      <c r="U55" s="61"/>
      <c r="V55" s="62"/>
      <c r="W55" s="60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2"/>
      <c r="AI55" s="62"/>
      <c r="AK55" s="13"/>
      <c r="AL55" s="18"/>
    </row>
    <row r="56" spans="2:38" x14ac:dyDescent="0.25">
      <c r="B56" s="56"/>
      <c r="C56" s="57"/>
      <c r="D56" s="58"/>
      <c r="E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59"/>
      <c r="R56" s="60"/>
      <c r="S56" s="61"/>
      <c r="T56" s="61"/>
      <c r="U56" s="61"/>
      <c r="V56" s="62"/>
      <c r="W56" s="60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2"/>
      <c r="AI56" s="62"/>
      <c r="AK56" s="13"/>
      <c r="AL56" s="18"/>
    </row>
    <row r="57" spans="2:38" x14ac:dyDescent="0.25">
      <c r="B57" s="56"/>
      <c r="C57" s="57"/>
      <c r="D57" s="58"/>
      <c r="E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59"/>
      <c r="R57" s="60"/>
      <c r="S57" s="61"/>
      <c r="T57" s="61"/>
      <c r="U57" s="61"/>
      <c r="V57" s="62"/>
      <c r="W57" s="60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2"/>
      <c r="AI57" s="62"/>
      <c r="AK57" s="13"/>
      <c r="AL57" s="18"/>
    </row>
    <row r="58" spans="2:38" x14ac:dyDescent="0.25">
      <c r="B58" s="56"/>
      <c r="C58" s="57"/>
      <c r="D58" s="58"/>
      <c r="E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59"/>
      <c r="R58" s="60"/>
      <c r="S58" s="61"/>
      <c r="T58" s="61"/>
      <c r="U58" s="61"/>
      <c r="V58" s="62"/>
      <c r="W58" s="60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2"/>
      <c r="AI58" s="62"/>
      <c r="AK58" s="13"/>
      <c r="AL58" s="18"/>
    </row>
    <row r="59" spans="2:38" x14ac:dyDescent="0.25">
      <c r="B59" s="56"/>
      <c r="C59" s="57"/>
      <c r="D59" s="58"/>
      <c r="E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59"/>
      <c r="R59" s="60"/>
      <c r="S59" s="61"/>
      <c r="T59" s="61"/>
      <c r="U59" s="61"/>
      <c r="V59" s="62"/>
      <c r="W59" s="60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2"/>
      <c r="AI59" s="62"/>
      <c r="AK59" s="67" t="s">
        <v>35</v>
      </c>
      <c r="AL59" s="18"/>
    </row>
    <row r="60" spans="2:38" x14ac:dyDescent="0.25">
      <c r="B60" s="56"/>
      <c r="C60" s="57"/>
      <c r="D60" s="58"/>
      <c r="E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59"/>
      <c r="R60" s="60"/>
      <c r="S60" s="61"/>
      <c r="T60" s="61"/>
      <c r="U60" s="61"/>
      <c r="V60" s="62"/>
      <c r="W60" s="60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2"/>
      <c r="AI60" s="62"/>
      <c r="AK60" s="67"/>
      <c r="AL60" s="18"/>
    </row>
    <row r="61" spans="2:38" x14ac:dyDescent="0.25">
      <c r="B61" s="19"/>
      <c r="C61" s="20"/>
      <c r="D61" s="33"/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3"/>
      <c r="R61" s="60"/>
      <c r="S61" s="61"/>
      <c r="T61" s="61"/>
      <c r="U61" s="61"/>
      <c r="V61" s="62"/>
      <c r="W61" s="68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70"/>
      <c r="AI61" s="62"/>
      <c r="AK61" s="67"/>
      <c r="AL61" s="71"/>
    </row>
    <row r="62" spans="2:38" x14ac:dyDescent="0.25">
      <c r="B62" s="72" t="s">
        <v>36</v>
      </c>
      <c r="C62" s="73"/>
      <c r="D62" s="73"/>
      <c r="E62" s="73"/>
      <c r="F62" s="73"/>
      <c r="G62" s="73"/>
      <c r="H62" s="73"/>
      <c r="I62" s="73"/>
      <c r="J62" s="73"/>
      <c r="K62" s="73"/>
      <c r="L62" s="11"/>
      <c r="M62" s="73" t="s">
        <v>1</v>
      </c>
      <c r="N62" s="11"/>
      <c r="O62" s="11"/>
      <c r="P62" s="11"/>
      <c r="Q62" s="11"/>
      <c r="R62" s="11"/>
      <c r="S62" s="11"/>
      <c r="T62" s="11"/>
      <c r="U62" s="11"/>
      <c r="V62" s="12"/>
      <c r="W62" s="13"/>
      <c r="Y62" s="74" t="s">
        <v>37</v>
      </c>
      <c r="Z62" s="74"/>
      <c r="AA62" s="74"/>
      <c r="AB62" s="74"/>
      <c r="AC62" s="74"/>
      <c r="AD62" s="74"/>
      <c r="AE62" s="74"/>
      <c r="AF62" s="74"/>
      <c r="AG62" s="74"/>
      <c r="AH62" s="18"/>
      <c r="AI62" s="75" t="s">
        <v>38</v>
      </c>
      <c r="AK62" s="67"/>
      <c r="AL62" s="18"/>
    </row>
    <row r="63" ht="6.75" customHeight="1" spans="2:38" x14ac:dyDescent="0.25">
      <c r="B63" s="13"/>
      <c r="V63" s="18"/>
      <c r="W63" s="13"/>
      <c r="AH63" s="18"/>
      <c r="AI63" s="76"/>
      <c r="AK63" s="67"/>
      <c r="AL63" s="18"/>
    </row>
    <row r="64" spans="2:38" x14ac:dyDescent="0.25">
      <c r="B64" s="77" t="s">
        <v>1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9"/>
      <c r="W64" s="13"/>
      <c r="X64" s="80">
        <f>SUM(W46:AH61)</f>
        <v>0</v>
      </c>
      <c r="Y64" s="80"/>
      <c r="Z64" s="80"/>
      <c r="AA64" s="80"/>
      <c r="AB64" s="80"/>
      <c r="AC64" s="80"/>
      <c r="AD64" s="80"/>
      <c r="AE64" s="80"/>
      <c r="AF64" s="80"/>
      <c r="AG64" s="80"/>
      <c r="AH64" s="18"/>
      <c r="AI64" s="76"/>
      <c r="AK64" s="67"/>
      <c r="AL64" s="18"/>
    </row>
    <row r="65" ht="6.75" customHeight="1" spans="2:38" x14ac:dyDescent="0.25">
      <c r="B65" s="77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9"/>
      <c r="W65" s="13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18"/>
      <c r="AI65" s="76"/>
      <c r="AK65" s="67"/>
      <c r="AL65" s="18"/>
    </row>
    <row r="66" ht="6.75" customHeight="1" spans="2:38" x14ac:dyDescent="0.25">
      <c r="B66" s="77" t="s">
        <v>1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9"/>
      <c r="W66" s="19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33"/>
      <c r="AI66" s="81"/>
      <c r="AK66" s="67"/>
      <c r="AL66" s="18"/>
    </row>
    <row r="67" ht="6.75" customHeight="1" spans="2:38" x14ac:dyDescent="0.25">
      <c r="B67" s="77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9"/>
      <c r="W67" s="9"/>
      <c r="X67" s="11"/>
      <c r="Y67" s="11"/>
      <c r="Z67" s="11"/>
      <c r="AA67" s="11"/>
      <c r="AB67" s="11"/>
      <c r="AC67" s="11"/>
      <c r="AD67" s="82"/>
      <c r="AE67" s="82"/>
      <c r="AF67" s="82"/>
      <c r="AG67" s="11"/>
      <c r="AH67" s="12"/>
      <c r="AI67" s="83"/>
      <c r="AK67" s="67"/>
      <c r="AL67" s="18"/>
    </row>
    <row r="68" spans="2:38" x14ac:dyDescent="0.25">
      <c r="B68" s="13"/>
      <c r="V68" s="18"/>
      <c r="W68" s="13"/>
      <c r="X68" s="84" t="s">
        <v>39</v>
      </c>
      <c r="Y68" s="84"/>
      <c r="Z68" s="84"/>
      <c r="AA68" s="84"/>
      <c r="AB68" s="84"/>
      <c r="AD68" s="85"/>
      <c r="AE68" s="85"/>
      <c r="AF68" s="85"/>
      <c r="AH68" s="18"/>
      <c r="AI68" s="86">
        <f>X64</f>
        <v>0</v>
      </c>
      <c r="AK68" s="67"/>
      <c r="AL68" s="18"/>
    </row>
    <row r="69" ht="6.75" customHeight="1" spans="2:38" x14ac:dyDescent="0.25"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33"/>
      <c r="W69" s="19"/>
      <c r="X69" s="20"/>
      <c r="Y69" s="20"/>
      <c r="Z69" s="20"/>
      <c r="AA69" s="20"/>
      <c r="AB69" s="20"/>
      <c r="AC69" s="20"/>
      <c r="AD69" s="87"/>
      <c r="AE69" s="87"/>
      <c r="AF69" s="87"/>
      <c r="AG69" s="20"/>
      <c r="AH69" s="33"/>
      <c r="AI69" s="81"/>
      <c r="AK69" s="67"/>
      <c r="AL69" s="18"/>
    </row>
    <row r="70" spans="2:38" x14ac:dyDescent="0.25">
      <c r="B70" s="88" t="s">
        <v>40</v>
      </c>
      <c r="C70" s="41"/>
      <c r="D70" s="41"/>
      <c r="E70" s="41"/>
      <c r="F70" s="41"/>
      <c r="G70" s="41"/>
      <c r="H70" s="41"/>
      <c r="I70" s="41"/>
      <c r="J70" s="41"/>
      <c r="K70" s="89"/>
      <c r="L70" s="41"/>
      <c r="M70" s="41"/>
      <c r="N70" s="89"/>
      <c r="O70" s="41"/>
      <c r="P70" s="41"/>
      <c r="Q70" s="41"/>
      <c r="R70" s="41"/>
      <c r="S70" s="89"/>
      <c r="T70" s="41"/>
      <c r="U70" s="41"/>
      <c r="V70" s="41"/>
      <c r="W70" s="41"/>
      <c r="X70" s="41"/>
      <c r="Y70" s="89"/>
      <c r="Z70" s="41"/>
      <c r="AA70" s="41"/>
      <c r="AB70" s="41"/>
      <c r="AC70" s="41"/>
      <c r="AD70" s="41"/>
      <c r="AE70" s="41"/>
      <c r="AF70" s="41"/>
      <c r="AG70" s="41"/>
      <c r="AH70" s="41"/>
      <c r="AI70" s="42"/>
      <c r="AK70" s="67"/>
      <c r="AL70" s="18"/>
    </row>
    <row r="71" spans="2:38" x14ac:dyDescent="0.25">
      <c r="B71" s="90">
        <f>AI68</f>
        <v>0</v>
      </c>
      <c r="C71" s="91"/>
      <c r="D71" s="91"/>
      <c r="E71" s="91"/>
      <c r="F71" s="91"/>
      <c r="G71" s="91"/>
      <c r="H71" s="91"/>
      <c r="I71" s="91"/>
      <c r="J71" s="91"/>
      <c r="K71" s="20"/>
      <c r="L71" s="92"/>
      <c r="M71" s="92"/>
      <c r="N71" s="20"/>
      <c r="O71" s="92"/>
      <c r="P71" s="92"/>
      <c r="Q71" s="92"/>
      <c r="R71" s="92"/>
      <c r="S71" s="20"/>
      <c r="T71" s="92"/>
      <c r="U71" s="92"/>
      <c r="V71" s="92"/>
      <c r="W71" s="92"/>
      <c r="X71" s="92"/>
      <c r="Y71" s="20"/>
      <c r="Z71" s="92"/>
      <c r="AA71" s="92"/>
      <c r="AB71" s="92"/>
      <c r="AC71" s="92"/>
      <c r="AD71" s="92"/>
      <c r="AE71" s="92"/>
      <c r="AF71" s="92"/>
      <c r="AG71" s="92"/>
      <c r="AH71" s="92"/>
      <c r="AI71" s="93"/>
      <c r="AK71" s="19"/>
      <c r="AL71" s="33"/>
    </row>
  </sheetData>
  <mergeCells count="182">
    <mergeCell ref="C2:AF2"/>
    <mergeCell ref="C3:G3"/>
    <mergeCell ref="I3:N3"/>
    <mergeCell ref="P3:R3"/>
    <mergeCell ref="S3:AA3"/>
    <mergeCell ref="AD3:AI3"/>
    <mergeCell ref="V4:AA4"/>
    <mergeCell ref="AE4:AI4"/>
    <mergeCell ref="D5:E5"/>
    <mergeCell ref="J5:P5"/>
    <mergeCell ref="X5:AE5"/>
    <mergeCell ref="AG5:AI5"/>
    <mergeCell ref="B6:H6"/>
    <mergeCell ref="J6:P6"/>
    <mergeCell ref="X6:AE6"/>
    <mergeCell ref="AG6:AI6"/>
    <mergeCell ref="J7:P7"/>
    <mergeCell ref="AA7:AH7"/>
    <mergeCell ref="B9:D9"/>
    <mergeCell ref="G9:Q9"/>
    <mergeCell ref="S9:V9"/>
    <mergeCell ref="X9:AH9"/>
    <mergeCell ref="B10:D10"/>
    <mergeCell ref="G10:Q10"/>
    <mergeCell ref="R10:V10"/>
    <mergeCell ref="W10:AH10"/>
    <mergeCell ref="B11:D11"/>
    <mergeCell ref="G11:Q11"/>
    <mergeCell ref="R11:V11"/>
    <mergeCell ref="W11:AH11"/>
    <mergeCell ref="B12:D12"/>
    <mergeCell ref="G12:Q12"/>
    <mergeCell ref="R12:V12"/>
    <mergeCell ref="W12:AH12"/>
    <mergeCell ref="B13:D13"/>
    <mergeCell ref="G13:Q13"/>
    <mergeCell ref="R13:V13"/>
    <mergeCell ref="W13:AH13"/>
    <mergeCell ref="G14:Q14"/>
    <mergeCell ref="R14:V14"/>
    <mergeCell ref="W14:AH14"/>
    <mergeCell ref="G15:Q15"/>
    <mergeCell ref="R15:V15"/>
    <mergeCell ref="W15:AH15"/>
    <mergeCell ref="G16:Q16"/>
    <mergeCell ref="R16:V16"/>
    <mergeCell ref="W16:AH16"/>
    <mergeCell ref="G17:Q17"/>
    <mergeCell ref="R17:V17"/>
    <mergeCell ref="W17:AH17"/>
    <mergeCell ref="G18:Q18"/>
    <mergeCell ref="R18:V18"/>
    <mergeCell ref="W18:AH18"/>
    <mergeCell ref="G19:Q19"/>
    <mergeCell ref="R19:V19"/>
    <mergeCell ref="W19:AH19"/>
    <mergeCell ref="G20:Q20"/>
    <mergeCell ref="R20:V20"/>
    <mergeCell ref="W20:AH20"/>
    <mergeCell ref="G21:Q21"/>
    <mergeCell ref="R21:V21"/>
    <mergeCell ref="W21:AH21"/>
    <mergeCell ref="G22:Q22"/>
    <mergeCell ref="R22:V22"/>
    <mergeCell ref="W22:AH22"/>
    <mergeCell ref="G23:Q23"/>
    <mergeCell ref="R23:V23"/>
    <mergeCell ref="W23:AH23"/>
    <mergeCell ref="G24:Q24"/>
    <mergeCell ref="R24:V24"/>
    <mergeCell ref="W24:AH24"/>
    <mergeCell ref="AK23:AK34"/>
    <mergeCell ref="R25:V25"/>
    <mergeCell ref="W25:AH25"/>
    <mergeCell ref="B26:K26"/>
    <mergeCell ref="Y26:AG26"/>
    <mergeCell ref="B28:V29"/>
    <mergeCell ref="X28:AG29"/>
    <mergeCell ref="B30:V31"/>
    <mergeCell ref="AD31:AF33"/>
    <mergeCell ref="X32:AB32"/>
    <mergeCell ref="B34:J34"/>
    <mergeCell ref="L34:M34"/>
    <mergeCell ref="O34:R34"/>
    <mergeCell ref="T34:X34"/>
    <mergeCell ref="Z34:AI34"/>
    <mergeCell ref="B35:J35"/>
    <mergeCell ref="L35:M35"/>
    <mergeCell ref="O35:R35"/>
    <mergeCell ref="T35:X35"/>
    <mergeCell ref="Z35:AI35"/>
    <mergeCell ref="C38:AF38"/>
    <mergeCell ref="C39:G39"/>
    <mergeCell ref="I39:N39"/>
    <mergeCell ref="P39:R39"/>
    <mergeCell ref="S39:AA39"/>
    <mergeCell ref="AD39:AI39"/>
    <mergeCell ref="V40:AA40"/>
    <mergeCell ref="AE40:AI40"/>
    <mergeCell ref="D41:E41"/>
    <mergeCell ref="J41:P41"/>
    <mergeCell ref="X41:AE41"/>
    <mergeCell ref="AG41:AI41"/>
    <mergeCell ref="B42:H42"/>
    <mergeCell ref="J42:P42"/>
    <mergeCell ref="X42:AE42"/>
    <mergeCell ref="AG42:AI42"/>
    <mergeCell ref="J43:P43"/>
    <mergeCell ref="AA43:AH43"/>
    <mergeCell ref="B45:D45"/>
    <mergeCell ref="G45:Q45"/>
    <mergeCell ref="S45:V45"/>
    <mergeCell ref="X45:AH45"/>
    <mergeCell ref="B46:D46"/>
    <mergeCell ref="G46:Q46"/>
    <mergeCell ref="R46:V46"/>
    <mergeCell ref="W46:AH46"/>
    <mergeCell ref="B47:D47"/>
    <mergeCell ref="G47:Q47"/>
    <mergeCell ref="R47:V47"/>
    <mergeCell ref="W47:AH47"/>
    <mergeCell ref="B48:D48"/>
    <mergeCell ref="G48:Q48"/>
    <mergeCell ref="R48:V48"/>
    <mergeCell ref="W48:AH48"/>
    <mergeCell ref="B49:D49"/>
    <mergeCell ref="G49:Q49"/>
    <mergeCell ref="R49:V49"/>
    <mergeCell ref="W49:AH49"/>
    <mergeCell ref="G50:Q50"/>
    <mergeCell ref="R50:V50"/>
    <mergeCell ref="W50:AH50"/>
    <mergeCell ref="G51:Q51"/>
    <mergeCell ref="R51:V51"/>
    <mergeCell ref="W51:AH51"/>
    <mergeCell ref="G52:Q52"/>
    <mergeCell ref="R52:V52"/>
    <mergeCell ref="W52:AH52"/>
    <mergeCell ref="G53:Q53"/>
    <mergeCell ref="R53:V53"/>
    <mergeCell ref="W53:AH53"/>
    <mergeCell ref="G54:Q54"/>
    <mergeCell ref="R54:V54"/>
    <mergeCell ref="W54:AH54"/>
    <mergeCell ref="G55:Q55"/>
    <mergeCell ref="R55:V55"/>
    <mergeCell ref="W55:AH55"/>
    <mergeCell ref="G56:Q56"/>
    <mergeCell ref="R56:V56"/>
    <mergeCell ref="W56:AH56"/>
    <mergeCell ref="G57:Q57"/>
    <mergeCell ref="R57:V57"/>
    <mergeCell ref="W57:AH57"/>
    <mergeCell ref="G58:Q58"/>
    <mergeCell ref="R58:V58"/>
    <mergeCell ref="W58:AH58"/>
    <mergeCell ref="G59:Q59"/>
    <mergeCell ref="R59:V59"/>
    <mergeCell ref="W59:AH59"/>
    <mergeCell ref="G60:Q60"/>
    <mergeCell ref="R60:V60"/>
    <mergeCell ref="W60:AH60"/>
    <mergeCell ref="AK59:AK70"/>
    <mergeCell ref="R61:V61"/>
    <mergeCell ref="W61:AH61"/>
    <mergeCell ref="B62:K62"/>
    <mergeCell ref="Y62:AG62"/>
    <mergeCell ref="B64:V65"/>
    <mergeCell ref="X64:AG65"/>
    <mergeCell ref="B66:V67"/>
    <mergeCell ref="AD67:AF69"/>
    <mergeCell ref="X68:AB68"/>
    <mergeCell ref="B70:J70"/>
    <mergeCell ref="L70:M70"/>
    <mergeCell ref="O70:R70"/>
    <mergeCell ref="T70:X70"/>
    <mergeCell ref="Z70:AI70"/>
    <mergeCell ref="B71:J71"/>
    <mergeCell ref="L71:M71"/>
    <mergeCell ref="O71:R71"/>
    <mergeCell ref="T71:X71"/>
    <mergeCell ref="Z71:AI71"/>
  </mergeCells>
  <pageMargins left="0.3937007874015748" right="0.3937007874015748" top="0" bottom="0" header="0" footer="0"/>
  <pageSetup paperSize="9" orientation="portrait" horizontalDpi="4294967295" verticalDpi="4294967295" pageOrder="overThenDown" scale="73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 zoomScale="100" zoomScaleNormal="100">
      <selection activeCell="D6" sqref="D6"/>
    </sheetView>
  </sheetViews>
  <sheetFormatPr defaultRowHeight="12.75" outlineLevelRow="0" outlineLevelCol="0" x14ac:dyDescent="0.2" customHeight="1"/>
  <cols>
    <col min="2" max="2" width="20.85546875" customWidth="1"/>
    <col min="3" max="3" width="31" customWidth="1"/>
    <col min="5" max="5" width="10.5703125" customWidth="1"/>
    <col min="6" max="6" width="9.140625" customWidth="1"/>
    <col min="7" max="9" width="9.140625" hidden="1" customWidth="1"/>
    <col min="10" max="15" width="9.140625" customWidth="1"/>
  </cols>
  <sheetData>
    <row r="1" ht="18" customHeight="1" spans="1:4" x14ac:dyDescent="0.25">
      <c r="A1" s="1"/>
      <c r="B1" s="1"/>
      <c r="C1" s="1"/>
      <c r="D1" s="1"/>
    </row>
    <row r="2" ht="18" customHeight="1" spans="1:9" x14ac:dyDescent="0.25">
      <c r="A2" s="1"/>
      <c r="B2" s="2" t="s">
        <v>0</v>
      </c>
      <c r="C2" s="2" t="s">
        <v>1</v>
      </c>
      <c r="D2" s="1"/>
      <c r="E2" s="3" t="s">
        <v>2</v>
      </c>
      <c r="G2" s="4" t="s">
        <v>3</v>
      </c>
      <c r="H2">
        <v>31</v>
      </c>
      <c r="I2">
        <v>5</v>
      </c>
    </row>
    <row r="3" ht="18" customHeight="1" spans="1:9" x14ac:dyDescent="0.25">
      <c r="A3" s="1"/>
      <c r="B3" s="2" t="s">
        <v>4</v>
      </c>
      <c r="C3" s="2" t="s">
        <v>3</v>
      </c>
      <c r="D3" s="1"/>
      <c r="E3" s="5">
        <v>2026</v>
      </c>
      <c r="G3" s="4" t="s">
        <v>5</v>
      </c>
      <c r="H3">
        <v>28</v>
      </c>
      <c r="I3">
        <v>4</v>
      </c>
    </row>
    <row r="4" ht="18" customHeight="1" spans="1:9" x14ac:dyDescent="0.25">
      <c r="A4" s="1"/>
      <c r="B4" s="2" t="s">
        <v>6</v>
      </c>
      <c r="C4" s="6">
        <v>0</v>
      </c>
      <c r="D4" s="1"/>
      <c r="E4" s="7"/>
      <c r="G4" s="4" t="s">
        <v>7</v>
      </c>
      <c r="H4">
        <v>31</v>
      </c>
      <c r="I4">
        <v>5</v>
      </c>
    </row>
    <row r="5" ht="18" customHeight="1" spans="1:9" x14ac:dyDescent="0.25">
      <c r="A5" s="1"/>
      <c r="B5" s="1"/>
      <c r="C5" s="1"/>
      <c r="D5" s="1"/>
      <c r="G5" s="4" t="s">
        <v>8</v>
      </c>
      <c r="H5">
        <v>30</v>
      </c>
      <c r="I5">
        <v>6</v>
      </c>
    </row>
    <row r="6" ht="18" customHeight="1" spans="1:9" x14ac:dyDescent="0.25">
      <c r="A6" s="1"/>
      <c r="B6" s="1"/>
      <c r="C6" s="1"/>
      <c r="D6" s="1"/>
      <c r="E6" s="7"/>
      <c r="G6" s="4" t="s">
        <v>9</v>
      </c>
      <c r="H6">
        <v>31</v>
      </c>
      <c r="I6">
        <v>6</v>
      </c>
    </row>
    <row r="7" ht="18" customHeight="1" spans="1:9" x14ac:dyDescent="0.25">
      <c r="A7" s="1"/>
      <c r="B7" s="1"/>
      <c r="C7" s="1"/>
      <c r="D7" s="1"/>
      <c r="G7" s="4" t="s">
        <v>10</v>
      </c>
      <c r="H7">
        <v>30</v>
      </c>
      <c r="I7">
        <v>5</v>
      </c>
    </row>
    <row r="8" ht="18" customHeight="1" spans="1:9" x14ac:dyDescent="0.25">
      <c r="A8" s="1"/>
      <c r="B8" s="1"/>
      <c r="C8" s="1"/>
      <c r="D8" s="1"/>
      <c r="G8" s="4" t="s">
        <v>11</v>
      </c>
      <c r="H8">
        <v>31</v>
      </c>
      <c r="I8">
        <v>4</v>
      </c>
    </row>
    <row r="9" ht="18" customHeight="1" spans="1:9" x14ac:dyDescent="0.25">
      <c r="A9" s="1"/>
      <c r="B9" s="1"/>
      <c r="C9" s="1"/>
      <c r="D9" s="1"/>
      <c r="G9" s="4" t="s">
        <v>12</v>
      </c>
      <c r="H9">
        <v>31</v>
      </c>
      <c r="I9">
        <v>5</v>
      </c>
    </row>
    <row r="10" ht="18" customHeight="1" spans="1:9" x14ac:dyDescent="0.25">
      <c r="A10" s="1"/>
      <c r="B10" s="1"/>
      <c r="C10" s="1"/>
      <c r="D10" s="1"/>
      <c r="G10" s="4" t="s">
        <v>13</v>
      </c>
      <c r="H10">
        <v>30</v>
      </c>
      <c r="I10">
        <v>5</v>
      </c>
    </row>
    <row r="11" ht="18" customHeight="1" spans="1:9" x14ac:dyDescent="0.25">
      <c r="A11" s="1"/>
      <c r="B11" s="1"/>
      <c r="C11" s="1"/>
      <c r="D11" s="1"/>
      <c r="G11" s="4" t="s">
        <v>14</v>
      </c>
      <c r="H11">
        <v>31</v>
      </c>
      <c r="I11">
        <v>5</v>
      </c>
    </row>
    <row r="12" ht="18" customHeight="1" spans="1:9" x14ac:dyDescent="0.25">
      <c r="A12" s="1"/>
      <c r="B12" s="1"/>
      <c r="C12" s="1"/>
      <c r="D12" s="1"/>
      <c r="G12" s="4" t="s">
        <v>15</v>
      </c>
      <c r="H12">
        <v>30</v>
      </c>
      <c r="I12">
        <v>7</v>
      </c>
    </row>
    <row r="13" ht="18" customHeight="1" spans="1:9" x14ac:dyDescent="0.25">
      <c r="A13" s="1"/>
      <c r="B13" s="1"/>
      <c r="C13" s="1"/>
      <c r="D13" s="1"/>
      <c r="G13" s="4" t="s">
        <v>16</v>
      </c>
      <c r="H13">
        <v>31</v>
      </c>
      <c r="I13">
        <v>5</v>
      </c>
    </row>
    <row r="14" ht="18" customHeight="1" spans="1:7" x14ac:dyDescent="0.25">
      <c r="A14" s="1"/>
      <c r="B14" s="1"/>
      <c r="C14" s="1"/>
      <c r="D14" s="1"/>
      <c r="G14" s="4"/>
    </row>
    <row r="15" ht="18" customHeight="1" spans="1:7" x14ac:dyDescent="0.25">
      <c r="A15" s="1"/>
      <c r="B15" s="1"/>
      <c r="C15" s="1"/>
      <c r="D15" s="1"/>
      <c r="G15" s="4"/>
    </row>
    <row r="16" ht="18" customHeight="1" spans="1:7" x14ac:dyDescent="0.25">
      <c r="A16" s="1"/>
      <c r="B16" s="1"/>
      <c r="C16" s="1"/>
      <c r="D16" s="1"/>
      <c r="G16" s="4"/>
    </row>
    <row r="17" ht="18" customHeight="1" spans="1:7" x14ac:dyDescent="0.25">
      <c r="A17" s="1"/>
      <c r="B17" s="1"/>
      <c r="C17" s="1"/>
      <c r="D17" s="1"/>
      <c r="G17" s="4"/>
    </row>
    <row r="18" ht="18" customHeight="1" spans="1:7" x14ac:dyDescent="0.25">
      <c r="A18" s="1"/>
      <c r="B18" s="1"/>
      <c r="C18" s="1"/>
      <c r="D18" s="1"/>
      <c r="G18" s="4"/>
    </row>
    <row r="19" ht="18" customHeight="1" spans="1:7" x14ac:dyDescent="0.25">
      <c r="A19" s="1"/>
      <c r="B19" s="1"/>
      <c r="C19" s="1"/>
      <c r="D19" s="1"/>
      <c r="G19" s="4"/>
    </row>
    <row r="20" ht="18" customHeight="1" spans="1:7" x14ac:dyDescent="0.25">
      <c r="A20" s="1"/>
      <c r="B20" s="1"/>
      <c r="C20" s="1"/>
      <c r="D20" s="1"/>
      <c r="G20" s="4"/>
    </row>
    <row r="21" ht="18" customHeight="1" spans="1:7" x14ac:dyDescent="0.25">
      <c r="A21" s="1"/>
      <c r="B21" s="1"/>
      <c r="C21" s="1"/>
      <c r="D21" s="1"/>
      <c r="G21" s="4"/>
    </row>
    <row r="22" ht="18" customHeight="1" spans="1:7" x14ac:dyDescent="0.25">
      <c r="A22" s="1"/>
      <c r="B22" s="1"/>
      <c r="C22" s="1"/>
      <c r="D22" s="1"/>
      <c r="G22" s="4"/>
    </row>
    <row r="23" ht="18" customHeight="1" spans="1:7" x14ac:dyDescent="0.25">
      <c r="A23" s="1"/>
      <c r="B23" s="1"/>
      <c r="C23" s="1"/>
      <c r="D23" s="1"/>
      <c r="G23" s="4"/>
    </row>
    <row r="24" ht="18" customHeight="1" spans="1:7" x14ac:dyDescent="0.25">
      <c r="A24" s="1"/>
      <c r="B24" s="1"/>
      <c r="C24" s="1"/>
      <c r="D24" s="1"/>
      <c r="G24" s="4"/>
    </row>
    <row r="25" ht="18" customHeight="1" spans="1:7" x14ac:dyDescent="0.25">
      <c r="A25" s="1"/>
      <c r="B25" s="1"/>
      <c r="C25" s="1"/>
      <c r="D25" s="1"/>
      <c r="G25" s="4"/>
    </row>
  </sheetData>
  <dataValidations count="1">
    <dataValidation type="list" allowBlank="1" showInputMessage="1" promptTitle="SELECIONAR MÊS" prompt="SELECIONE_x000a_" showErrorMessage="1" sqref="C3">
      <formula1>$G$2:$G$13</formula1>
    </dataValidation>
  </dataValidations>
  <pageMargins left="0.511811024" right="0.511811024" top="0.787401575" bottom="0.787401575" header="0.31496062" footer="0.31496062"/>
  <pageSetup paperSize="9" orientation="portrait" horizontalDpi="4294967295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showGridLines="0" zoomScale="100" zoomScaleNormal="100">
      <selection activeCell="G32" sqref="G32"/>
    </sheetView>
  </sheetViews>
  <sheetFormatPr defaultRowHeight="12.75" outlineLevelRow="0" outlineLevelCol="0" x14ac:dyDescent="0.2" customHeight="1"/>
  <cols>
    <col min="1" max="1" width="16.7109375" customWidth="1"/>
    <col min="2" max="2" width="26.5703125" customWidth="1"/>
  </cols>
  <sheetData>
    <row r="1" ht="15.75" customHeight="1" spans="1:1" x14ac:dyDescent="0.25">
      <c r="A1" s="94" t="s">
        <v>41</v>
      </c>
    </row>
    <row r="17" ht="15.75" customHeight="1" spans="1:1" s="95" customFormat="1" x14ac:dyDescent="0.25">
      <c r="A17" s="94" t="s">
        <v>42</v>
      </c>
    </row>
    <row r="20" spans="1:2" x14ac:dyDescent="0.25">
      <c r="A20" s="96" t="s">
        <v>43</v>
      </c>
      <c r="B20" s="97" t="s">
        <v>44</v>
      </c>
    </row>
    <row r="21" spans="1:2" x14ac:dyDescent="0.25">
      <c r="A21" s="96" t="s">
        <v>45</v>
      </c>
      <c r="B21" s="98" t="s">
        <v>46</v>
      </c>
    </row>
    <row r="22" spans="1:2" x14ac:dyDescent="0.25">
      <c r="A22" s="96" t="s">
        <v>47</v>
      </c>
      <c r="B22" s="97" t="s">
        <v>48</v>
      </c>
    </row>
    <row r="27" spans="1:1" x14ac:dyDescent="0.25">
      <c r="A27" s="4" t="s">
        <v>49</v>
      </c>
    </row>
  </sheetData>
  <pageMargins left="0.511811024" right="0.511811024" top="0.787401575" bottom="0.787401575" header="0.31496062" footer="0.3149606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JOAO CARLOS DE QUEIROZ</vt:lpstr>
      <vt:lpstr>Recibo de Pagamento</vt:lpstr>
      <vt:lpstr>TUTORIAL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user</cp:lastModifiedBy>
  <cp:lastPrinted>2026-07-14T12:09:31Z</cp:lastPrinted>
  <dcterms:created xsi:type="dcterms:W3CDTF">2026-02-12T13:44:50Z</dcterms:created>
  <dcterms:modified xsi:type="dcterms:W3CDTF">2026-07-16T13:56:34Z</dcterms:modified>
</cp:coreProperties>
</file>